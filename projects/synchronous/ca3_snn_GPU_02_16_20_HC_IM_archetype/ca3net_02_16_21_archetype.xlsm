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showObjects="none" codeName="ThisWorkbook" defaultThemeVersion="166925"/>
  <mc:AlternateContent xmlns:mc="http://schemas.openxmlformats.org/markup-compatibility/2006">
    <mc:Choice Requires="x15">
      <x15ac:absPath xmlns:x15ac="http://schemas.microsoft.com/office/spreadsheetml/2010/11/ac" url="C:\Users\Jeffrey\Desktop\carlsim_resting_state_network_projects\ca3_snn_GPU_02_16_20_HC_IM_archetype\"/>
    </mc:Choice>
  </mc:AlternateContent>
  <xr:revisionPtr revIDLastSave="0" documentId="13_ncr:1_{A87FF30D-A475-4AED-986B-1F5193E91355}" xr6:coauthVersionLast="46" xr6:coauthVersionMax="46" xr10:uidLastSave="{00000000-0000-0000-0000-000000000000}"/>
  <bookViews>
    <workbookView xWindow="15" yWindow="45" windowWidth="26055" windowHeight="17400" activeTab="3"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IM_parameters_by_neuron_type" sheetId="9" r:id="rId7"/>
    <sheet name="syn_conn_prob" sheetId="5" r:id="rId8"/>
    <sheet name="syn_conds" sheetId="15" r:id="rId9"/>
    <sheet name="syn_weights" sheetId="51" r:id="rId10"/>
    <sheet name="syn_resource_release" sheetId="16" r:id="rId11"/>
    <sheet name="syn_resource_release_multiplier" sheetId="52" r:id="rId12"/>
    <sheet name="syn_rec_const" sheetId="17" r:id="rId13"/>
    <sheet name="syn_decay_const" sheetId="18" r:id="rId14"/>
    <sheet name="syn_facil_const" sheetId="19" r:id="rId1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40" l="1"/>
  <c r="B9" i="9"/>
  <c r="B8" i="9"/>
  <c r="B7" i="9"/>
  <c r="B6" i="9"/>
  <c r="B5" i="9"/>
  <c r="J1" i="40" l="1"/>
  <c r="J2" i="40"/>
  <c r="J4" i="40"/>
  <c r="B8" i="16"/>
  <c r="B9" i="15"/>
  <c r="B5" i="5"/>
  <c r="B7" i="5"/>
  <c r="B8" i="5"/>
  <c r="B8" i="19"/>
  <c r="B6" i="8"/>
  <c r="B8" i="18"/>
  <c r="B6" i="18"/>
  <c r="B5" i="17"/>
  <c r="B5" i="18"/>
  <c r="B6" i="15"/>
  <c r="B7" i="18"/>
  <c r="B7" i="19"/>
  <c r="B5" i="15"/>
  <c r="B9" i="18"/>
  <c r="B6" i="17"/>
  <c r="B8" i="15"/>
  <c r="B7" i="15"/>
  <c r="B5" i="19"/>
  <c r="B6" i="19"/>
  <c r="B7" i="8"/>
  <c r="B7" i="16"/>
  <c r="B5" i="16"/>
  <c r="B9" i="5"/>
  <c r="B9" i="16"/>
  <c r="B6" i="16"/>
  <c r="B6" i="5"/>
  <c r="B7" i="17"/>
  <c r="B9" i="17"/>
  <c r="B8" i="17"/>
  <c r="B9" i="19"/>
  <c r="C3" i="20" l="1"/>
  <c r="C2" i="20"/>
  <c r="C101" i="20"/>
  <c r="C99" i="20"/>
  <c r="F71" i="20"/>
  <c r="F20" i="20"/>
  <c r="F73" i="20"/>
  <c r="F22" i="20"/>
  <c r="F14" i="20"/>
  <c r="B5" i="8"/>
  <c r="B8" i="8"/>
  <c r="B9" i="8"/>
  <c r="B10" i="8"/>
  <c r="C6" i="20" l="1"/>
  <c r="C5" i="20"/>
  <c r="C4" i="20"/>
  <c r="D89" i="20"/>
  <c r="D91" i="20"/>
  <c r="D93" i="20"/>
  <c r="G99" i="20"/>
  <c r="F16" i="20"/>
  <c r="B44" i="20" s="1"/>
  <c r="C95" i="20"/>
  <c r="F67" i="20"/>
  <c r="B95" i="20" s="1"/>
  <c r="F89" i="20"/>
  <c r="B66" i="20"/>
  <c r="F91" i="20"/>
  <c r="F93" i="20"/>
  <c r="D95" i="20"/>
  <c r="G89" i="20"/>
  <c r="G91" i="20"/>
  <c r="G93" i="20"/>
  <c r="E95" i="20"/>
  <c r="F18" i="20"/>
  <c r="B46" i="20" s="1"/>
  <c r="F69" i="20"/>
  <c r="B97" i="20" s="1"/>
  <c r="C97" i="20"/>
  <c r="E89" i="20"/>
  <c r="F95" i="20"/>
  <c r="D97" i="20"/>
  <c r="F87" i="20"/>
  <c r="F101" i="20"/>
  <c r="G87" i="20"/>
  <c r="G101" i="20"/>
  <c r="B63" i="20"/>
  <c r="B87" i="20" s="1"/>
  <c r="B12" i="20"/>
  <c r="C87" i="20"/>
  <c r="G95" i="20"/>
  <c r="E97" i="20"/>
  <c r="D99" i="20"/>
  <c r="B48" i="20"/>
  <c r="B99" i="20"/>
  <c r="B64" i="20"/>
  <c r="E91" i="20"/>
  <c r="E93" i="20"/>
  <c r="D87" i="20"/>
  <c r="F97" i="20"/>
  <c r="E99" i="20"/>
  <c r="B101" i="20"/>
  <c r="B50" i="20"/>
  <c r="D101" i="20"/>
  <c r="E87" i="20"/>
  <c r="B65" i="20"/>
  <c r="B89" i="20" s="1"/>
  <c r="C89" i="20"/>
  <c r="B14" i="20"/>
  <c r="B38" i="20" s="1"/>
  <c r="F12" i="20"/>
  <c r="B40" i="20" s="1"/>
  <c r="C91" i="20"/>
  <c r="F63" i="20"/>
  <c r="B91" i="20" s="1"/>
  <c r="F65" i="20"/>
  <c r="B93" i="20" s="1"/>
  <c r="C93" i="20"/>
  <c r="B42" i="20"/>
  <c r="G97" i="20"/>
  <c r="F99" i="20"/>
  <c r="E101" i="20"/>
  <c r="C7" i="20" l="1"/>
  <c r="D103" i="20"/>
  <c r="B103" i="20"/>
  <c r="B67" i="20"/>
  <c r="G103" i="20"/>
  <c r="C103" i="20"/>
  <c r="F103" i="20"/>
  <c r="F24" i="20"/>
  <c r="F75" i="20"/>
  <c r="E103" i="20"/>
  <c r="B16" i="20"/>
  <c r="B36" i="20"/>
  <c r="B52" i="20" s="1"/>
</calcChain>
</file>

<file path=xl/sharedStrings.xml><?xml version="1.0" encoding="utf-8"?>
<sst xmlns="http://schemas.openxmlformats.org/spreadsheetml/2006/main" count="351" uniqueCount="215">
  <si>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</si>
  <si>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</si>
  <si>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</si>
  <si>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</si>
  <si>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</si>
  <si>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</si>
  <si>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</si>
  <si>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</si>
  <si>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</si>
  <si>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</si>
  <si>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</si>
  <si>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</si>
  <si>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</si>
  <si>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</si>
  <si>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</si>
  <si>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</si>
  <si>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</si>
  <si>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</si>
  <si>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</si>
  <si>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</si>
  <si>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</si>
  <si>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</si>
  <si>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</si>
  <si>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</si>
  <si>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CA3 Pyramidal</t>
  </si>
  <si>
    <t>Internal</t>
  </si>
  <si>
    <t>Excitatory</t>
  </si>
  <si>
    <t>CA3 Axo-Axonic</t>
  </si>
  <si>
    <t>Inhibitory</t>
  </si>
  <si>
    <t xml:space="preserve"> CA3 Basket,  CA3 Basket</t>
  </si>
  <si>
    <t>CA3 Basket</t>
  </si>
  <si>
    <t>CA3 BC CCK+</t>
  </si>
  <si>
    <t>CA3 Bistratified</t>
  </si>
  <si>
    <t>CA3 Ivy</t>
  </si>
  <si>
    <t>CA3 MFA ORDEN</t>
  </si>
  <si>
    <t xml:space="preserve"> CA3 Pyramidal,  CA3 Basket</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</si>
  <si>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</si>
  <si>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</si>
  <si>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</si>
  <si>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</si>
  <si>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</si>
  <si>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</si>
  <si>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</si>
  <si>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</si>
  <si>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</si>
  <si>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</si>
  <si>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</si>
  <si>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</si>
  <si>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</si>
  <si>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</si>
  <si>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</si>
  <si>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</si>
  <si>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</si>
  <si>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</si>
  <si>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</si>
  <si>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</si>
  <si>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</si>
  <si>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</si>
  <si>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</si>
  <si>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</si>
  <si>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</si>
  <si>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</si>
  <si>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</si>
  <si>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</si>
  <si>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</si>
  <si>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</si>
  <si>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</si>
  <si>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</si>
  <si>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</si>
  <si>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</si>
  <si>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</si>
  <si>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</si>
  <si>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</si>
  <si>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</si>
  <si>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</si>
  <si>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</si>
  <si>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</si>
  <si>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</si>
  <si>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</si>
  <si>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</si>
  <si>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</si>
  <si>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</si>
  <si>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</si>
  <si>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</si>
  <si>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</si>
  <si>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</si>
  <si>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</si>
  <si>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</si>
  <si>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</si>
  <si>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</si>
  <si>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</si>
  <si>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</si>
  <si>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</si>
  <si>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</si>
  <si>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</si>
  <si>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</si>
  <si>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</si>
  <si>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</si>
  <si>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</si>
  <si>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</si>
  <si>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</si>
  <si>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</si>
  <si>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</si>
  <si>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</si>
  <si>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</si>
  <si>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</si>
  <si>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</si>
  <si>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</si>
  <si>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</si>
  <si>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</si>
  <si>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</si>
  <si>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</si>
  <si>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</si>
  <si>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</si>
  <si>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</si>
  <si>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</si>
  <si>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</si>
  <si>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</si>
  <si>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</si>
  <si>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</si>
  <si>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</si>
  <si>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</si>
  <si>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</si>
  <si>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</si>
  <si>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</si>
  <si>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</si>
  <si>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</si>
  <si>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</si>
  <si>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</si>
  <si>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</si>
  <si>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</si>
  <si>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Basket (mean)</t>
  </si>
  <si>
    <t>CA3 MFA ORDEN (mean)</t>
  </si>
  <si>
    <t>CA3 Pyramidal (mean)</t>
  </si>
  <si>
    <t>CA3 Basket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</si>
  <si>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</si>
  <si>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</si>
  <si>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</si>
  <si>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</si>
  <si>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</si>
  <si>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</si>
  <si>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</si>
  <si>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</si>
  <si>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</si>
  <si>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</si>
  <si>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</si>
  <si>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</si>
  <si>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</si>
  <si>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</si>
  <si>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</si>
  <si>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</si>
  <si>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</si>
  <si>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</si>
  <si>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CA3 QuadD-LM</t>
  </si>
  <si>
    <t>Absolute Synaptic Conductance (A) between (pre-synaptic type) and (post-synaptic type)</t>
  </si>
  <si>
    <t>CA3 Basket</t>
  </si>
  <si>
    <t>CA3 MFA ORDEN</t>
  </si>
  <si>
    <t>CA3 Pyramidal</t>
  </si>
  <si>
    <t>CA3 Basket (mean)</t>
  </si>
  <si>
    <t>CA3 Basket (std)</t>
  </si>
  <si>
    <t>CA3 MFA ORDEN (mean)</t>
  </si>
  <si>
    <t>CA3 MFA ORDEN (std)</t>
  </si>
  <si>
    <t>CA3 Pyramidal (mean)</t>
  </si>
  <si>
    <t>CA3 Pyramidal (std)</t>
  </si>
  <si>
    <t>U</t>
  </si>
  <si>
    <t>CA3 Basket</t>
  </si>
  <si>
    <t>CA3 MFA ORDEN</t>
  </si>
  <si>
    <t>CA3 Pyramidal</t>
  </si>
  <si>
    <t>CA3 Basket (mean)</t>
  </si>
  <si>
    <t>CA3 Basket (std)</t>
  </si>
  <si>
    <t>CA3 MFA ORDEN (mean)</t>
  </si>
  <si>
    <t>CA3 MFA ORDEN (std)</t>
  </si>
  <si>
    <t>CA3 Pyramidal (mean)</t>
  </si>
  <si>
    <t>CA3 Pyramidal (std)</t>
  </si>
  <si>
    <t>tau_rec</t>
  </si>
  <si>
    <t>CA3 Basket</t>
  </si>
  <si>
    <t>CA3 MFA ORDEN</t>
  </si>
  <si>
    <t>CA3 Pyramidal</t>
  </si>
  <si>
    <t>CA3 Basket (mean)</t>
  </si>
  <si>
    <t>CA3 Basket (std)</t>
  </si>
  <si>
    <t>CA3 MFA ORDEN (mean)</t>
  </si>
  <si>
    <t>CA3 MFA ORDEN (std)</t>
  </si>
  <si>
    <t>CA3 Pyramidal (mean)</t>
  </si>
  <si>
    <t>CA3 Pyramidal (std)</t>
  </si>
  <si>
    <t>tau_d</t>
  </si>
  <si>
    <t>CA3 Basket</t>
  </si>
  <si>
    <t>CA3 MFA ORDEN</t>
  </si>
  <si>
    <t>CA3 Pyramidal</t>
  </si>
  <si>
    <t>CA3 Basket (mean)</t>
  </si>
  <si>
    <t>CA3 Basket (std)</t>
  </si>
  <si>
    <t>CA3 MFA ORDEN (mean)</t>
  </si>
  <si>
    <t>CA3 MFA ORDEN (std)</t>
  </si>
  <si>
    <t>CA3 Pyramidal (mean)</t>
  </si>
  <si>
    <t>CA3 Pyramidal (std)</t>
  </si>
  <si>
    <t>tau_facil</t>
  </si>
  <si>
    <t>CA3 Basket</t>
  </si>
  <si>
    <t>CA3 MFA ORDEN</t>
  </si>
  <si>
    <t>CA3 Pyramidal</t>
  </si>
  <si>
    <t>CA3 Basket (mean)</t>
  </si>
  <si>
    <t>CA3 Basket (std)</t>
  </si>
  <si>
    <t>CA3 MFA ORDEN (mean)</t>
  </si>
  <si>
    <t>CA3 MFA ORDEN (std)</t>
  </si>
  <si>
    <t>CA3 Pyramidal (mean)</t>
  </si>
  <si>
    <t>CA3 Pyramidal (std)</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</si>
  <si>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</si>
  <si>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</si>
  <si>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</si>
  <si>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</si>
  <si>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From,  To (internal: N=9)</t>
  </si>
  <si>
    <t xml:space="preserve"> CA3 Basket,  CA3 MFA ORDEN</t>
  </si>
  <si>
    <t>CA3 Basket, CA3 Pyramidal</t>
  </si>
  <si>
    <t xml:space="preserve"> CA3 Pyramidal,  CA3 MFA ORDEN</t>
  </si>
  <si>
    <t xml:space="preserve"> CA3 MFA ORDEN,  CA3 Basket</t>
  </si>
  <si>
    <t>CA3 MFA ORDEN,  CA3 Pyramidal</t>
  </si>
  <si>
    <t>CA3 MFA ORDEN, CA3 MFA ORDEN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</si>
</sst>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0"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s>
  <fills count="14">
    <fill>
      <patternFill patternType="none"/>
    </fill>
    <fill>
      <patternFill patternType="gray125"/>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8168889431442"/>
        <bgColor indexed="64"/>
      </patternFill>
    </fill>
    <fill>
      <patternFill patternType="solid">
        <fgColor theme="0"/>
        <bgColor indexed="64"/>
      </patternFill>
    </fill>
  </fills>
  <borders count="14">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8" fillId="0" borderId="0" applyNumberFormat="0" applyFill="0" applyBorder="0" applyAlignment="0" applyProtection="0"/>
  </cellStyleXfs>
  <cellXfs count="65">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6" fillId="0" borderId="7" xfId="0" applyFont="1" applyBorder="1" applyAlignment="1">
      <alignment horizontal="center" vertical="center" wrapText="1"/>
    </xf>
    <xf numFmtId="0" fontId="6"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0" borderId="0" xfId="0" applyNumberFormat="1" applyAlignment="1">
      <alignment horizontal="center" vertical="center"/>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4" borderId="0" xfId="0" applyFill="1" applyAlignment="1">
      <alignment horizontal="center" vertical="center"/>
    </xf>
    <xf numFmtId="0" fontId="0" fillId="3" borderId="0" xfId="0" applyFill="1" applyAlignment="1">
      <alignment horizontal="center" vertical="center"/>
    </xf>
    <xf numFmtId="0" fontId="0" fillId="5" borderId="0" xfId="0" applyFill="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xf numFmtId="0" fontId="0" fillId="8" borderId="0" xfId="0" applyFill="1" applyAlignment="1">
      <alignment horizontal="center" vertical="center" wrapText="1"/>
    </xf>
    <xf numFmtId="0" fontId="0" fillId="0" borderId="0" xfId="0" applyFill="1"/>
    <xf numFmtId="0" fontId="0" fillId="0" borderId="0" xfId="0" applyAlignment="1">
      <alignment horizontal="center" vertical="top" wrapText="1"/>
    </xf>
    <xf numFmtId="0" fontId="0" fillId="9" borderId="0" xfId="0" applyFill="1"/>
    <xf numFmtId="0" fontId="0" fillId="10" borderId="0" xfId="0" applyFill="1" applyAlignment="1">
      <alignment horizontal="center" vertical="center"/>
    </xf>
    <xf numFmtId="0" fontId="0" fillId="10" borderId="3" xfId="0" applyFill="1" applyBorder="1" applyAlignment="1">
      <alignment horizontal="center" vertical="center"/>
    </xf>
    <xf numFmtId="0" fontId="7" fillId="2" borderId="0" xfId="0" applyFont="1" applyFill="1" applyAlignment="1">
      <alignment horizontal="center" vertical="center"/>
    </xf>
    <xf numFmtId="0" fontId="7" fillId="4" borderId="0" xfId="0" applyFont="1" applyFill="1" applyAlignment="1">
      <alignment horizontal="center" vertical="center"/>
    </xf>
    <xf numFmtId="0" fontId="7" fillId="3" borderId="0" xfId="0" applyFont="1" applyFill="1" applyAlignment="1">
      <alignment horizontal="center" vertical="center"/>
    </xf>
    <xf numFmtId="0" fontId="7" fillId="10" borderId="0" xfId="0" applyFont="1" applyFill="1" applyAlignment="1">
      <alignment horizontal="center" vertical="center"/>
    </xf>
    <xf numFmtId="0" fontId="7" fillId="9" borderId="0" xfId="0" applyFont="1" applyFill="1" applyAlignment="1">
      <alignment horizontal="center" vertical="center"/>
    </xf>
    <xf numFmtId="0" fontId="7" fillId="0" borderId="0" xfId="0" applyFont="1" applyFill="1" applyAlignment="1">
      <alignment horizontal="center" vertical="center"/>
    </xf>
    <xf numFmtId="0" fontId="0" fillId="2" borderId="3" xfId="0" applyFill="1" applyBorder="1" applyAlignment="1">
      <alignment horizontal="center" vertical="center"/>
    </xf>
    <xf numFmtId="165" fontId="0" fillId="2" borderId="3" xfId="0" applyNumberFormat="1" applyFill="1" applyBorder="1" applyAlignment="1">
      <alignment horizontal="center" vertical="center"/>
    </xf>
    <xf numFmtId="165" fontId="0" fillId="11" borderId="3" xfId="0" applyNumberFormat="1" applyFill="1" applyBorder="1" applyAlignment="1">
      <alignment horizontal="center" vertical="center"/>
    </xf>
    <xf numFmtId="0" fontId="0" fillId="0" borderId="13" xfId="0" applyFill="1" applyBorder="1" applyAlignment="1">
      <alignment horizontal="center" vertical="center"/>
    </xf>
    <xf numFmtId="0" fontId="0" fillId="2" borderId="3" xfId="0" applyFill="1" applyBorder="1"/>
    <xf numFmtId="49" fontId="0" fillId="2" borderId="13" xfId="0" applyNumberFormat="1" applyFill="1" applyBorder="1"/>
    <xf numFmtId="49" fontId="0" fillId="0" borderId="13" xfId="0" applyNumberFormat="1" applyBorder="1" applyAlignment="1">
      <alignment horizontal="center" vertical="center"/>
    </xf>
    <xf numFmtId="49" fontId="0" fillId="0" borderId="12" xfId="0" applyNumberFormat="1" applyBorder="1" applyAlignment="1">
      <alignment horizontal="center" vertical="center"/>
    </xf>
    <xf numFmtId="49" fontId="0" fillId="2" borderId="13" xfId="0" applyNumberFormat="1" applyFill="1" applyBorder="1" applyAlignment="1">
      <alignment horizontal="center" vertical="center"/>
    </xf>
    <xf numFmtId="0" fontId="0" fillId="9" borderId="0" xfId="0" applyFill="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49" fontId="0" fillId="0" borderId="9" xfId="0" applyNumberFormat="1" applyBorder="1" applyAlignment="1">
      <alignment horizontal="center" vertical="center"/>
    </xf>
    <xf numFmtId="0" fontId="9" fillId="10" borderId="3" xfId="1" applyFont="1" applyFill="1" applyBorder="1" applyAlignment="1">
      <alignment horizontal="center" vertical="center"/>
    </xf>
    <xf numFmtId="0" fontId="0" fillId="12" borderId="0" xfId="0" applyFill="1" applyAlignment="1">
      <alignment horizontal="center" vertical="center" wrapText="1"/>
    </xf>
    <xf numFmtId="0" fontId="0" fillId="13"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cellXfs>
  <cellStyles count="2">
    <cellStyle name="Hyperlink" xfId="1" builtinId="8"/>
    <cellStyle name="Normal" xfId="0" builtinId="0"/>
  </cellStyles>
  <dxfs count="63">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62" dataDxfId="61" totalsRowDxfId="60">
  <autoFilter ref="A11:B15" xr:uid="{438C1829-A8C8-4692-8B74-066A2061137F}"/>
  <tableColumns count="2">
    <tableColumn id="1" xr3:uid="{20A9D7EA-1A9C-4566-A215-C9A42775F49A}" name="Neuron Super-Family Parameters" totalsRowLabel="Total" dataDxfId="59" totalsRowDxfId="58"/>
    <tableColumn id="2" xr3:uid="{5D4655F9-A5A1-406A-A335-8A7A7F8ED25C}" name="# of Parameter PDFs" totalsRowFunction="sum" dataDxfId="57" totalsRowDxfId="56">
      <calculatedColumnFormula>COUNTIF(pop_size_neuron_type!B2:B5,"&lt;&gt;0")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55" dataDxfId="54" totalsRowDxfId="53">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52" totalsRowDxfId="51"/>
    <tableColumn id="2" xr3:uid="{A2B3A141-B3C5-4E36-96C3-B8F4A4A67F2A}" name="# of Parameter PDFs" totalsRowFunction="sum" dataDxfId="50" totalsRow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48" dataDxfId="47" totalsRowDxfId="46">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45" totalsRowDxfId="44"/>
    <tableColumn id="2" xr3:uid="{5E9EA9C0-39AC-4A7B-BD2B-2055AAFE620A}" name="# of Parameter PDFs" totalsRowFunction="sum" dataDxfId="43" totalsRowDxfId="4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1" dataDxfId="40" totalsRowDxfId="39">
  <autoFilter ref="A62:B66" xr:uid="{F0F7C5CC-0040-4D0F-8F8B-39B0551AE9D3}"/>
  <tableColumns count="2">
    <tableColumn id="1" xr3:uid="{B32A2FC9-F850-485A-9504-EC10B9C7683E}" name="Neuron Super-Family Parameters" totalsRowLabel="Total" dataDxfId="38" totalsRowDxfId="37"/>
    <tableColumn id="2" xr3:uid="{854C8F80-B30E-40A2-8609-EC7ED1DCEF79}" name="# of Parameter PDFs" totalsRowFunction="sum" dataDxfId="36" totalsRowDxfId="35"/>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34" dataDxfId="33" totalsRowDxfId="32">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1" totalsRowDxfId="30"/>
    <tableColumn id="2" xr3:uid="{EB9DDA82-978C-4820-A82C-837E0FE3AC20}" name="# of Parameter PDFs" totalsRowFunction="sum" dataDxfId="29" totalsRowDxfId="28"/>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7" dataDxfId="26" totalsRowDxfId="25">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24" totalsRowDxfId="23"/>
    <tableColumn id="2" xr3:uid="{1AC70C1C-9BFA-48DF-A65F-83403770A834}" name="# of Parameter PDFs" totalsRowFunction="sum" dataDxfId="22" totalsRowDxfId="21"/>
    <tableColumn id="3" xr3:uid="{230A1D07-B8AA-4415-991F-21DE2CB8CC53}" name="Estimate Level 1" totalsRowFunction="sum" dataDxfId="20" totalsRowDxfId="19">
      <calculatedColumnFormula>(#REF!)</calculatedColumnFormula>
    </tableColumn>
    <tableColumn id="4" xr3:uid="{D0771581-1796-45F6-A26C-FB3D15834677}" name="Estimate Level 2" totalsRowFunction="sum" dataDxfId="18" totalsRowDxfId="17">
      <calculatedColumnFormula>(pop_size_neuron_type!B7)</calculatedColumnFormula>
    </tableColumn>
    <tableColumn id="5" xr3:uid="{25489370-ACC8-467D-9873-E4FDA095E686}" name="Estimate Level 3" totalsRowFunction="sum" dataDxfId="16" totalsRowDxfId="15">
      <calculatedColumnFormula>(pop_size_neuron_type!B8)</calculatedColumnFormula>
    </tableColumn>
    <tableColumn id="6" xr3:uid="{51C48578-68F9-4020-917D-ED764B3B81AD}" name="Estimate Level 4" totalsRowFunction="sum" dataDxfId="14" totalsRowDxfId="13">
      <calculatedColumnFormula>(pop_size_neuron_type!B9)</calculatedColumnFormula>
    </tableColumn>
    <tableColumn id="7" xr3:uid="{96D8037C-3489-48A2-9656-BE274BDE1D63}" name="Estimate Level 5" totalsRowFunction="sum" dataDxfId="12" totalsRowDxfId="11">
      <calculatedColumnFormula>(pop_size_neuron_type!B10)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0" dataDxfId="9">
  <autoFilter ref="A1:D21" xr:uid="{2D571397-DE6E-495A-B642-1BBD07B945CB}"/>
  <tableColumns count="4">
    <tableColumn id="1" xr3:uid="{4F0B135F-F2E3-452C-A2A6-F057AF42DF2B}" name="Default Parameter List" totalsRowLabel="Total" dataDxfId="8" totalsRowDxfId="7"/>
    <tableColumn id="2" xr3:uid="{A4D63A67-3DF3-48DE-9349-B77DD7C3813D}" name="Count of Default Parameter Type" dataDxfId="6" totalsRowDxfId="5"/>
    <tableColumn id="3" xr3:uid="{1DF8BEC8-FDE0-4929-BAF5-C32C43656EE8}" name="Parameter value" dataDxfId="4" totalsRowDxfId="3"/>
    <tableColumn id="4" xr3:uid="{4194B166-D169-4766-A97A-F7B3CADAD36E}" name="Related Notes on Parameter" totalsRowFunction="count" dataDxfId="2" totalsRow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5" t="s">
        <v>130</v>
      </c>
    </row>
    <row r="2" spans="1:1" ht="105" x14ac:dyDescent="0.25">
      <c r="A2" s="37" t="s">
        <v>205</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71</v>
      </c>
      <c r="C1" s="8" t="s">
        <v>72</v>
      </c>
      <c r="D1" s="8" t="s">
        <v>149</v>
      </c>
      <c r="H1" s="15"/>
    </row>
    <row r="2" spans="1:8" ht="73.5" customHeight="1" x14ac:dyDescent="0.25">
      <c r="A2" s="28"/>
      <c r="B2" s="15" t="s">
        <v>1</v>
      </c>
      <c r="C2" s="8">
        <f>SUM(pop_size_neuron_type!B6, IM_parameters_by_neuron_type!B5, syn_conn_prob!B5, syn_conds!B5, syn_resource_release!B5, syn_rec_const!B5, syn_decay_const!B5, syn_facil_const!B5)</f>
        <v>81</v>
      </c>
      <c r="D2" s="15" t="s">
        <v>151</v>
      </c>
      <c r="E2" s="26"/>
      <c r="F2" s="26"/>
      <c r="G2" t="s">
        <v>51</v>
      </c>
    </row>
    <row r="3" spans="1:8" ht="124.5" customHeight="1" x14ac:dyDescent="0.25">
      <c r="A3" s="30"/>
      <c r="B3" s="15" t="s">
        <v>139</v>
      </c>
      <c r="C3" s="8">
        <f>SUM(pop_size_neuron_type!B7, IM_parameters_by_neuron_type!B6, syn_conn_prob!B6, syn_conds!B6, syn_resource_release!B6, syn_rec_const!B6, syn_decay_const!B6, syn_facil_const!B6)</f>
        <v>0</v>
      </c>
      <c r="D3" s="15" t="s">
        <v>207</v>
      </c>
      <c r="E3" s="26"/>
      <c r="F3" s="26"/>
    </row>
    <row r="4" spans="1:8" ht="60" x14ac:dyDescent="0.25">
      <c r="A4" s="29"/>
      <c r="B4" s="15" t="s">
        <v>2</v>
      </c>
      <c r="C4" s="8">
        <f>SUM(pop_size_neuron_type!B8, IM_parameters_by_neuron_type!B7, syn_conn_prob!B7, syn_conds!B7, syn_resource_release!B7, syn_rec_const!B7, syn_decay_const!B7, syn_facil_const!B7)</f>
        <v>0</v>
      </c>
      <c r="D4" s="15" t="s">
        <v>150</v>
      </c>
      <c r="E4" s="26"/>
      <c r="F4" s="26"/>
    </row>
    <row r="5" spans="1:8" ht="130.5" customHeight="1" x14ac:dyDescent="0.25">
      <c r="A5" s="39"/>
      <c r="B5" s="15" t="s">
        <v>3</v>
      </c>
      <c r="C5" s="8">
        <f>SUM(pop_size_neuron_type!B9, IM_parameters_by_neuron_type!B8, syn_conn_prob!B8, syn_conds!B8, syn_resource_release!B8, syn_rec_const!B8, syn_decay_const!B8, syn_facil_const!B8)</f>
        <v>75</v>
      </c>
      <c r="D5" s="15" t="s">
        <v>152</v>
      </c>
      <c r="E5" s="26"/>
      <c r="F5" s="26"/>
    </row>
    <row r="6" spans="1:8" ht="148.5" customHeight="1" x14ac:dyDescent="0.25">
      <c r="A6" s="38"/>
      <c r="B6" s="15" t="s">
        <v>4</v>
      </c>
      <c r="C6" s="8">
        <f>SUM(pop_size_neuron_type!B10, IM_parameters_by_neuron_type!B9, syn_conn_prob!B9, syn_conds!B9, syn_resource_release!B9, syn_rec_const!B9, syn_decay_const!B9, syn_facil_const!B9)</f>
        <v>0</v>
      </c>
      <c r="D6" s="15" t="s">
        <v>206</v>
      </c>
      <c r="E6" s="36"/>
      <c r="F6" s="36"/>
    </row>
    <row r="7" spans="1:8" x14ac:dyDescent="0.25">
      <c r="C7" s="8">
        <f>SUM(C2:C6)</f>
        <v>156</v>
      </c>
    </row>
    <row r="9" spans="1:8" x14ac:dyDescent="0.25">
      <c r="A9" s="27" t="s">
        <v>5</v>
      </c>
    </row>
    <row r="11" spans="1:8" x14ac:dyDescent="0.25">
      <c r="A11" s="8" t="s">
        <v>6</v>
      </c>
      <c r="B11" s="8" t="s">
        <v>7</v>
      </c>
      <c r="E11" s="8" t="s">
        <v>8</v>
      </c>
      <c r="F11" s="8" t="s">
        <v>7</v>
      </c>
    </row>
    <row r="12" spans="1:8" ht="30" x14ac:dyDescent="0.25">
      <c r="A12" s="15" t="s">
        <v>9</v>
      </c>
      <c r="B12" s="8">
        <f>SUM(pop_size_neuron_type!$B$6:$B$10)</f>
        <v>3</v>
      </c>
      <c r="E12" s="15" t="s">
        <v>10</v>
      </c>
      <c r="F12" s="15">
        <f>SUM(syn_conn_prob!$B$5:$B$9)</f>
        <v>9</v>
      </c>
    </row>
    <row r="13" spans="1:8" hidden="1" x14ac:dyDescent="0.25">
      <c r="A13" s="15"/>
      <c r="B13" s="25"/>
      <c r="E13" s="15"/>
      <c r="F13" s="15"/>
    </row>
    <row r="14" spans="1:8" ht="30" x14ac:dyDescent="0.25">
      <c r="A14" s="15" t="s">
        <v>12</v>
      </c>
      <c r="B14" s="8">
        <f>SUM(IM_parameters_by_neuron_type!$B$5:$B$9)/2</f>
        <v>27</v>
      </c>
      <c r="E14" s="15" t="s">
        <v>13</v>
      </c>
      <c r="F14" s="15">
        <f>SUM(syn_conds!$B$5:$B$9)/2</f>
        <v>9</v>
      </c>
    </row>
    <row r="15" spans="1:8" hidden="1" x14ac:dyDescent="0.25">
      <c r="A15" s="15"/>
      <c r="B15" s="25"/>
      <c r="E15" s="15"/>
      <c r="F15" s="15"/>
    </row>
    <row r="16" spans="1:8" x14ac:dyDescent="0.25">
      <c r="A16" s="8" t="s">
        <v>14</v>
      </c>
      <c r="B16" s="8">
        <f>SUBTOTAL(109,Table1['# of Parameter PDFs])</f>
        <v>30</v>
      </c>
      <c r="E16" s="15" t="s">
        <v>15</v>
      </c>
      <c r="F16" s="15">
        <f>SUM(syn_resource_release!$B$5:$B$9)/2</f>
        <v>9</v>
      </c>
    </row>
    <row r="17" spans="5:6" hidden="1" x14ac:dyDescent="0.25">
      <c r="E17" s="15"/>
      <c r="F17" s="15"/>
    </row>
    <row r="18" spans="5:6" ht="30" x14ac:dyDescent="0.25">
      <c r="E18" s="15" t="s">
        <v>16</v>
      </c>
      <c r="F18" s="15">
        <f>SUM(syn_rec_const!$B$5:$B$9)/2</f>
        <v>9</v>
      </c>
    </row>
    <row r="19" spans="5:6" hidden="1" x14ac:dyDescent="0.25">
      <c r="E19" s="15"/>
      <c r="F19" s="15"/>
    </row>
    <row r="20" spans="5:6" ht="30" x14ac:dyDescent="0.25">
      <c r="E20" s="15" t="s">
        <v>17</v>
      </c>
      <c r="F20" s="15">
        <f>SUM(syn_decay_const!$B$5:$B$9)/2</f>
        <v>9</v>
      </c>
    </row>
    <row r="21" spans="5:6" hidden="1" x14ac:dyDescent="0.25">
      <c r="E21" s="15"/>
      <c r="F21" s="15"/>
    </row>
    <row r="22" spans="5:6" ht="30" x14ac:dyDescent="0.25">
      <c r="E22" s="15" t="s">
        <v>18</v>
      </c>
      <c r="F22" s="15">
        <f>SUM(syn_facil_const!$B$5:$B$9)/2</f>
        <v>9</v>
      </c>
    </row>
    <row r="23" spans="5:6" hidden="1" x14ac:dyDescent="0.25">
      <c r="E23" s="15"/>
      <c r="F23" s="15"/>
    </row>
    <row r="24" spans="5:6" x14ac:dyDescent="0.25">
      <c r="E24" s="8" t="s">
        <v>14</v>
      </c>
      <c r="F24" s="8">
        <f>SUBTOTAL(109,Table2['# of Parameter PDFs])</f>
        <v>54</v>
      </c>
    </row>
    <row r="35" spans="1:2" x14ac:dyDescent="0.25">
      <c r="A35" s="8" t="s">
        <v>19</v>
      </c>
      <c r="B35" s="8" t="s">
        <v>7</v>
      </c>
    </row>
    <row r="36" spans="1:2" x14ac:dyDescent="0.25">
      <c r="A36" s="15" t="s">
        <v>9</v>
      </c>
      <c r="B36" s="8">
        <f>B12</f>
        <v>3</v>
      </c>
    </row>
    <row r="37" spans="1:2" hidden="1" x14ac:dyDescent="0.25">
      <c r="A37" s="15"/>
      <c r="B37" s="25"/>
    </row>
    <row r="38" spans="1:2" ht="30" x14ac:dyDescent="0.25">
      <c r="A38" s="15" t="s">
        <v>126</v>
      </c>
      <c r="B38" s="8">
        <f>B14</f>
        <v>27</v>
      </c>
    </row>
    <row r="39" spans="1:2" hidden="1" x14ac:dyDescent="0.25">
      <c r="A39" s="15"/>
      <c r="B39" s="8"/>
    </row>
    <row r="40" spans="1:2" ht="30" x14ac:dyDescent="0.25">
      <c r="A40" s="15" t="s">
        <v>10</v>
      </c>
      <c r="B40" s="15">
        <f>F12</f>
        <v>9</v>
      </c>
    </row>
    <row r="41" spans="1:2" hidden="1" x14ac:dyDescent="0.25">
      <c r="A41" s="15"/>
      <c r="B41" s="15"/>
    </row>
    <row r="42" spans="1:2" ht="30" x14ac:dyDescent="0.25">
      <c r="A42" s="15" t="s">
        <v>13</v>
      </c>
      <c r="B42" s="15">
        <f t="shared" ref="B42:B50" si="0">F14</f>
        <v>9</v>
      </c>
    </row>
    <row r="43" spans="1:2" hidden="1" x14ac:dyDescent="0.25">
      <c r="A43" s="15"/>
      <c r="B43" s="15"/>
    </row>
    <row r="44" spans="1:2" x14ac:dyDescent="0.25">
      <c r="A44" s="15" t="s">
        <v>15</v>
      </c>
      <c r="B44" s="15">
        <f t="shared" si="0"/>
        <v>9</v>
      </c>
    </row>
    <row r="45" spans="1:2" hidden="1" x14ac:dyDescent="0.25">
      <c r="A45" s="15"/>
      <c r="B45" s="15"/>
    </row>
    <row r="46" spans="1:2" ht="30" x14ac:dyDescent="0.25">
      <c r="A46" s="15" t="s">
        <v>16</v>
      </c>
      <c r="B46" s="15">
        <f t="shared" si="0"/>
        <v>9</v>
      </c>
    </row>
    <row r="47" spans="1:2" hidden="1" x14ac:dyDescent="0.25">
      <c r="A47" s="15"/>
      <c r="B47" s="15"/>
    </row>
    <row r="48" spans="1:2" ht="30" x14ac:dyDescent="0.25">
      <c r="A48" s="15" t="s">
        <v>17</v>
      </c>
      <c r="B48" s="15">
        <f t="shared" si="0"/>
        <v>9</v>
      </c>
    </row>
    <row r="49" spans="1:6" hidden="1" x14ac:dyDescent="0.25">
      <c r="A49" s="15"/>
      <c r="B49" s="15"/>
    </row>
    <row r="50" spans="1:6" ht="30" x14ac:dyDescent="0.25">
      <c r="A50" s="15" t="s">
        <v>18</v>
      </c>
      <c r="B50" s="15">
        <f t="shared" si="0"/>
        <v>9</v>
      </c>
    </row>
    <row r="51" spans="1:6" hidden="1" x14ac:dyDescent="0.25">
      <c r="A51" s="15"/>
      <c r="B51" s="15"/>
    </row>
    <row r="52" spans="1:6" x14ac:dyDescent="0.25">
      <c r="A52" s="8" t="s">
        <v>14</v>
      </c>
      <c r="B52" s="8">
        <f>SUBTOTAL(109,Table4['# of Parameter PDFs])</f>
        <v>84</v>
      </c>
    </row>
    <row r="60" spans="1:6" x14ac:dyDescent="0.25">
      <c r="A60" t="s">
        <v>20</v>
      </c>
    </row>
    <row r="62" spans="1:6" x14ac:dyDescent="0.25">
      <c r="A62" s="15" t="s">
        <v>6</v>
      </c>
      <c r="B62" s="15" t="s">
        <v>7</v>
      </c>
      <c r="E62" s="15" t="s">
        <v>8</v>
      </c>
      <c r="F62" s="15" t="s">
        <v>7</v>
      </c>
    </row>
    <row r="63" spans="1:6" ht="30" x14ac:dyDescent="0.25">
      <c r="A63" s="15" t="s">
        <v>9</v>
      </c>
      <c r="B63" s="8">
        <f>SUM(pop_size_neuron_type!$B$6:$B$10)</f>
        <v>3</v>
      </c>
      <c r="E63" s="15" t="s">
        <v>10</v>
      </c>
      <c r="F63" s="15">
        <f>SUM(syn_conn_prob!$B$5:$B$9)</f>
        <v>9</v>
      </c>
    </row>
    <row r="64" spans="1:6" hidden="1" x14ac:dyDescent="0.25">
      <c r="A64" s="15" t="s">
        <v>11</v>
      </c>
      <c r="B64" s="25" t="e">
        <f>SUM(#REF!)</f>
        <v>#REF!</v>
      </c>
      <c r="E64" s="15"/>
      <c r="F64" s="15"/>
    </row>
    <row r="65" spans="1:6" ht="30" x14ac:dyDescent="0.25">
      <c r="A65" s="15" t="s">
        <v>126</v>
      </c>
      <c r="B65" s="8">
        <f>SUM(IM_parameters_by_neuron_type!$B$5:$B$9)</f>
        <v>54</v>
      </c>
      <c r="E65" s="15" t="s">
        <v>13</v>
      </c>
      <c r="F65" s="15">
        <f>SUM(syn_conds!$B$5:$B$9)</f>
        <v>18</v>
      </c>
    </row>
    <row r="66" spans="1:6" hidden="1" x14ac:dyDescent="0.25">
      <c r="A66" s="15" t="s">
        <v>125</v>
      </c>
      <c r="B66" s="25" t="e">
        <f>SUM(#REF!)</f>
        <v>#REF!</v>
      </c>
      <c r="E66" s="15"/>
      <c r="F66" s="15"/>
    </row>
    <row r="67" spans="1:6" x14ac:dyDescent="0.25">
      <c r="A67" s="15" t="s">
        <v>14</v>
      </c>
      <c r="B67" s="15">
        <f>SUBTOTAL(109,Table16['# of Parameter PDFs])</f>
        <v>57</v>
      </c>
      <c r="E67" s="15" t="s">
        <v>15</v>
      </c>
      <c r="F67" s="15">
        <f>SUM(syn_resource_release!$B$5:$B$9)</f>
        <v>18</v>
      </c>
    </row>
    <row r="68" spans="1:6" hidden="1" x14ac:dyDescent="0.25">
      <c r="E68" s="15"/>
      <c r="F68" s="15"/>
    </row>
    <row r="69" spans="1:6" ht="30" x14ac:dyDescent="0.25">
      <c r="E69" s="15" t="s">
        <v>16</v>
      </c>
      <c r="F69" s="15">
        <f>SUM(syn_rec_const!$B$5:$B$9)</f>
        <v>18</v>
      </c>
    </row>
    <row r="70" spans="1:6" hidden="1" x14ac:dyDescent="0.25">
      <c r="E70" s="15"/>
      <c r="F70" s="15"/>
    </row>
    <row r="71" spans="1:6" ht="30" x14ac:dyDescent="0.25">
      <c r="E71" s="15" t="s">
        <v>17</v>
      </c>
      <c r="F71" s="15">
        <f>SUM(syn_decay_const!$B$5:$B$9)</f>
        <v>18</v>
      </c>
    </row>
    <row r="72" spans="1:6" hidden="1" x14ac:dyDescent="0.25">
      <c r="E72" s="15"/>
      <c r="F72" s="15"/>
    </row>
    <row r="73" spans="1:6" ht="30" x14ac:dyDescent="0.25">
      <c r="E73" s="15" t="s">
        <v>18</v>
      </c>
      <c r="F73" s="15">
        <f>SUM(syn_facil_const!$B$5:$B$9)</f>
        <v>18</v>
      </c>
    </row>
    <row r="74" spans="1:6" hidden="1" x14ac:dyDescent="0.25">
      <c r="E74" s="15"/>
      <c r="F74" s="15"/>
    </row>
    <row r="75" spans="1:6" x14ac:dyDescent="0.25">
      <c r="E75" s="15" t="s">
        <v>14</v>
      </c>
      <c r="F75" s="15">
        <f>SUBTOTAL(109,Table27['# of Parameter PDFs])</f>
        <v>99</v>
      </c>
    </row>
    <row r="86" spans="1:7" x14ac:dyDescent="0.25">
      <c r="A86" s="46" t="s">
        <v>19</v>
      </c>
      <c r="B86" s="46" t="s">
        <v>7</v>
      </c>
      <c r="C86" s="41" t="s">
        <v>140</v>
      </c>
      <c r="D86" s="43" t="s">
        <v>141</v>
      </c>
      <c r="E86" s="42" t="s">
        <v>142</v>
      </c>
      <c r="F86" s="44" t="s">
        <v>143</v>
      </c>
      <c r="G86" s="45" t="s">
        <v>144</v>
      </c>
    </row>
    <row r="87" spans="1:7" x14ac:dyDescent="0.25">
      <c r="A87" s="15" t="s">
        <v>9</v>
      </c>
      <c r="B87" s="8">
        <f>B63</f>
        <v>3</v>
      </c>
      <c r="C87" s="8">
        <f>(pop_size_neuron_type!B6)</f>
        <v>3</v>
      </c>
      <c r="D87" s="8">
        <f>(pop_size_neuron_type!B7)</f>
        <v>0</v>
      </c>
      <c r="E87" s="8">
        <f>(pop_size_neuron_type!B8)</f>
        <v>0</v>
      </c>
      <c r="F87" s="8">
        <f>(pop_size_neuron_type!B9)</f>
        <v>0</v>
      </c>
      <c r="G87" s="8">
        <f>(pop_size_neuron_type!B10)</f>
        <v>0</v>
      </c>
    </row>
    <row r="88" spans="1:7" hidden="1" x14ac:dyDescent="0.25">
      <c r="A88" s="15"/>
      <c r="B88" s="8"/>
      <c r="C88" s="8"/>
      <c r="D88" s="8"/>
      <c r="E88" s="8"/>
      <c r="F88" s="8"/>
      <c r="G88" s="8"/>
    </row>
    <row r="89" spans="1:7" ht="30" x14ac:dyDescent="0.25">
      <c r="A89" s="15" t="s">
        <v>126</v>
      </c>
      <c r="B89" s="8">
        <f>B65</f>
        <v>54</v>
      </c>
      <c r="C89" s="8">
        <f>(IM_parameters_by_neuron_type!B5)</f>
        <v>27</v>
      </c>
      <c r="D89" s="8">
        <f>(IM_parameters_by_neuron_type!B6)</f>
        <v>0</v>
      </c>
      <c r="E89" s="8">
        <f>(IM_parameters_by_neuron_type!B7)</f>
        <v>0</v>
      </c>
      <c r="F89" s="8">
        <f>(IM_parameters_by_neuron_type!B8)</f>
        <v>27</v>
      </c>
      <c r="G89" s="8">
        <f>(IM_parameters_by_neuron_type!B9)</f>
        <v>0</v>
      </c>
    </row>
    <row r="90" spans="1:7" hidden="1" x14ac:dyDescent="0.25">
      <c r="A90" s="15"/>
      <c r="B90" s="8"/>
      <c r="C90" s="8"/>
      <c r="D90" s="8"/>
      <c r="E90" s="8"/>
      <c r="F90" s="8"/>
      <c r="G90" s="8"/>
    </row>
    <row r="91" spans="1:7" ht="30" x14ac:dyDescent="0.25">
      <c r="A91" s="15" t="s">
        <v>10</v>
      </c>
      <c r="B91" s="15">
        <f t="shared" ref="B91:B101" si="1">F63</f>
        <v>9</v>
      </c>
      <c r="C91" s="8">
        <f>(syn_conn_prob!B5)</f>
        <v>6</v>
      </c>
      <c r="D91" s="8">
        <f>(syn_conn_prob!B6)</f>
        <v>0</v>
      </c>
      <c r="E91" s="8">
        <f>(syn_conn_prob!B7)</f>
        <v>0</v>
      </c>
      <c r="F91" s="8">
        <f>(syn_conn_prob!B8)</f>
        <v>3</v>
      </c>
      <c r="G91" s="8">
        <f>(syn_conn_prob!B9)</f>
        <v>0</v>
      </c>
    </row>
    <row r="92" spans="1:7" hidden="1" x14ac:dyDescent="0.25">
      <c r="A92" s="15"/>
      <c r="B92" s="15"/>
      <c r="C92" s="8"/>
      <c r="D92" s="8"/>
      <c r="E92" s="8"/>
      <c r="F92" s="8"/>
      <c r="G92" s="8"/>
    </row>
    <row r="93" spans="1:7" ht="30" x14ac:dyDescent="0.25">
      <c r="A93" s="15" t="s">
        <v>13</v>
      </c>
      <c r="B93" s="15">
        <f t="shared" si="1"/>
        <v>18</v>
      </c>
      <c r="C93" s="8">
        <f>(syn_conds!B5)</f>
        <v>9</v>
      </c>
      <c r="D93" s="8">
        <f>(syn_conds!B6)</f>
        <v>0</v>
      </c>
      <c r="E93" s="8">
        <f>(syn_conds!B7)</f>
        <v>0</v>
      </c>
      <c r="F93" s="8">
        <f>(syn_conds!B8)</f>
        <v>9</v>
      </c>
      <c r="G93" s="8">
        <f>(syn_conds!B9)</f>
        <v>0</v>
      </c>
    </row>
    <row r="94" spans="1:7" hidden="1" x14ac:dyDescent="0.25">
      <c r="A94" s="15"/>
      <c r="B94" s="15"/>
      <c r="C94" s="8"/>
      <c r="D94" s="8"/>
      <c r="E94" s="8"/>
      <c r="F94" s="8"/>
      <c r="G94" s="8"/>
    </row>
    <row r="95" spans="1:7" x14ac:dyDescent="0.25">
      <c r="A95" s="15" t="s">
        <v>15</v>
      </c>
      <c r="B95" s="15">
        <f t="shared" si="1"/>
        <v>18</v>
      </c>
      <c r="C95" s="8">
        <f>(syn_resource_release!B5)</f>
        <v>9</v>
      </c>
      <c r="D95" s="8">
        <f>(syn_resource_release!B6)</f>
        <v>0</v>
      </c>
      <c r="E95" s="8">
        <f>(syn_resource_release!B7)</f>
        <v>0</v>
      </c>
      <c r="F95" s="8">
        <f>(syn_resource_release!B8)</f>
        <v>9</v>
      </c>
      <c r="G95" s="8">
        <f>(syn_resource_release!B9)</f>
        <v>0</v>
      </c>
    </row>
    <row r="96" spans="1:7" hidden="1" x14ac:dyDescent="0.25">
      <c r="A96" s="15"/>
      <c r="B96" s="15"/>
      <c r="C96" s="8"/>
      <c r="D96" s="8"/>
      <c r="E96" s="8"/>
      <c r="F96" s="8"/>
      <c r="G96" s="8"/>
    </row>
    <row r="97" spans="1:7" ht="30" x14ac:dyDescent="0.25">
      <c r="A97" s="15" t="s">
        <v>16</v>
      </c>
      <c r="B97" s="15">
        <f t="shared" si="1"/>
        <v>18</v>
      </c>
      <c r="C97" s="8">
        <f>(syn_rec_const!B5)</f>
        <v>9</v>
      </c>
      <c r="D97" s="8">
        <f>(syn_rec_const!B6)</f>
        <v>0</v>
      </c>
      <c r="E97" s="8">
        <f>(syn_rec_const!B7)</f>
        <v>0</v>
      </c>
      <c r="F97" s="8">
        <f>(syn_rec_const!B8)</f>
        <v>9</v>
      </c>
      <c r="G97" s="8">
        <f>(syn_rec_const!B9)</f>
        <v>0</v>
      </c>
    </row>
    <row r="98" spans="1:7" hidden="1" x14ac:dyDescent="0.25">
      <c r="A98" s="15"/>
      <c r="B98" s="15"/>
      <c r="C98" s="8"/>
      <c r="D98" s="8"/>
      <c r="E98" s="8"/>
      <c r="F98" s="8"/>
      <c r="G98" s="8"/>
    </row>
    <row r="99" spans="1:7" ht="30" x14ac:dyDescent="0.25">
      <c r="A99" s="15" t="s">
        <v>17</v>
      </c>
      <c r="B99" s="15">
        <f t="shared" si="1"/>
        <v>18</v>
      </c>
      <c r="C99" s="8">
        <f>(syn_decay_const!B5)</f>
        <v>9</v>
      </c>
      <c r="D99" s="8">
        <f>(syn_decay_const!B6)</f>
        <v>0</v>
      </c>
      <c r="E99" s="8">
        <f>(syn_decay_const!B7)</f>
        <v>0</v>
      </c>
      <c r="F99" s="8">
        <f>(syn_decay_const!B8)</f>
        <v>9</v>
      </c>
      <c r="G99" s="8">
        <f>(syn_decay_const!B9)</f>
        <v>0</v>
      </c>
    </row>
    <row r="100" spans="1:7" hidden="1" x14ac:dyDescent="0.25">
      <c r="A100" s="15"/>
      <c r="B100" s="15"/>
      <c r="C100" s="8"/>
      <c r="D100" s="8"/>
      <c r="E100" s="8"/>
      <c r="F100" s="8"/>
      <c r="G100" s="8"/>
    </row>
    <row r="101" spans="1:7" ht="30" x14ac:dyDescent="0.25">
      <c r="A101" s="15" t="s">
        <v>18</v>
      </c>
      <c r="B101" s="15">
        <f t="shared" si="1"/>
        <v>18</v>
      </c>
      <c r="C101" s="8">
        <f>(syn_facil_const!B5)</f>
        <v>9</v>
      </c>
      <c r="D101" s="8">
        <f>(syn_facil_const!B6)</f>
        <v>0</v>
      </c>
      <c r="E101" s="8">
        <f>(syn_facil_const!B7)</f>
        <v>0</v>
      </c>
      <c r="F101" s="8">
        <f>(syn_facil_const!B8)</f>
        <v>9</v>
      </c>
      <c r="G101" s="8">
        <f>(syn_facil_const!B9)</f>
        <v>0</v>
      </c>
    </row>
    <row r="102" spans="1:7" hidden="1" x14ac:dyDescent="0.25">
      <c r="A102" s="15"/>
      <c r="B102" s="15"/>
      <c r="C102" s="8"/>
      <c r="D102" s="8"/>
      <c r="E102" s="8"/>
      <c r="F102" s="8"/>
      <c r="G102" s="8"/>
    </row>
    <row r="103" spans="1:7" x14ac:dyDescent="0.25">
      <c r="A103" s="8" t="s">
        <v>14</v>
      </c>
      <c r="B103" s="8">
        <f>SUBTOTAL(109,Table48['# of Parameter PDFs])</f>
        <v>156</v>
      </c>
      <c r="C103" s="8">
        <f>SUBTOTAL(109,Table48[Estimate Level 1])</f>
        <v>81</v>
      </c>
      <c r="D103" s="8">
        <f>SUBTOTAL(109,Table48[Estimate Level 2])</f>
        <v>0</v>
      </c>
      <c r="E103" s="8">
        <f>SUBTOTAL(109,Table48[Estimate Level 3])</f>
        <v>0</v>
      </c>
      <c r="F103" s="8">
        <f>SUBTOTAL(109,Table48[Estimate Level 4])</f>
        <v>75</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73</v>
      </c>
      <c r="B1" s="15" t="s">
        <v>74</v>
      </c>
      <c r="C1" s="15" t="s">
        <v>75</v>
      </c>
      <c r="D1" s="15" t="s">
        <v>76</v>
      </c>
      <c r="G1" s="15" t="s">
        <v>120</v>
      </c>
      <c r="H1" s="33"/>
      <c r="I1" s="15" t="s">
        <v>121</v>
      </c>
      <c r="J1" s="15">
        <f>SUM(B11:B13, B21)</f>
        <v>161</v>
      </c>
      <c r="K1" s="15" t="s">
        <v>145</v>
      </c>
    </row>
    <row r="2" spans="1:11" ht="60" x14ac:dyDescent="0.25">
      <c r="A2" s="31" t="s">
        <v>77</v>
      </c>
      <c r="B2" s="15">
        <v>1</v>
      </c>
      <c r="C2" s="15" t="s">
        <v>78</v>
      </c>
      <c r="D2" s="15" t="s">
        <v>79</v>
      </c>
      <c r="G2" s="15" t="s">
        <v>122</v>
      </c>
      <c r="H2" s="31"/>
      <c r="I2" s="15" t="s">
        <v>123</v>
      </c>
      <c r="J2" s="15">
        <f>SUM(B2:B4, B7:B10,B19:B20)</f>
        <v>51</v>
      </c>
      <c r="K2" s="15" t="s">
        <v>146</v>
      </c>
    </row>
    <row r="3" spans="1:11" ht="90" x14ac:dyDescent="0.25">
      <c r="A3" s="31" t="s">
        <v>80</v>
      </c>
      <c r="B3" s="15">
        <v>1</v>
      </c>
      <c r="C3" s="15">
        <v>0</v>
      </c>
      <c r="D3" s="15" t="s">
        <v>81</v>
      </c>
      <c r="G3" s="15" t="s">
        <v>124</v>
      </c>
      <c r="H3" s="32"/>
      <c r="I3" s="15" t="s">
        <v>138</v>
      </c>
      <c r="J3" s="15">
        <f>SUM(B5:B6,B14:B15,B17:B18)</f>
        <v>306</v>
      </c>
      <c r="K3" s="15" t="s">
        <v>147</v>
      </c>
    </row>
    <row r="4" spans="1:11" ht="90" x14ac:dyDescent="0.25">
      <c r="A4" s="31" t="s">
        <v>82</v>
      </c>
      <c r="B4" s="15">
        <v>1</v>
      </c>
      <c r="C4" s="15">
        <v>-1</v>
      </c>
      <c r="D4" s="15" t="s">
        <v>83</v>
      </c>
      <c r="G4" s="15" t="s">
        <v>129</v>
      </c>
      <c r="H4" s="34"/>
      <c r="I4" s="15" t="s">
        <v>137</v>
      </c>
      <c r="J4" s="15">
        <f>SUM(B16)</f>
        <v>51</v>
      </c>
      <c r="K4" s="15" t="s">
        <v>148</v>
      </c>
    </row>
    <row r="5" spans="1:11" ht="30" x14ac:dyDescent="0.25">
      <c r="A5" s="32" t="s">
        <v>84</v>
      </c>
      <c r="B5" s="15">
        <v>51</v>
      </c>
      <c r="C5" s="15">
        <v>0</v>
      </c>
      <c r="D5" s="15" t="s">
        <v>85</v>
      </c>
    </row>
    <row r="6" spans="1:11" ht="30" x14ac:dyDescent="0.25">
      <c r="A6" s="32" t="s">
        <v>86</v>
      </c>
      <c r="B6" s="15">
        <v>51</v>
      </c>
      <c r="C6" s="15">
        <v>0</v>
      </c>
      <c r="D6" s="15" t="s">
        <v>87</v>
      </c>
    </row>
    <row r="7" spans="1:11" ht="30" x14ac:dyDescent="0.25">
      <c r="A7" s="31" t="s">
        <v>88</v>
      </c>
      <c r="B7" s="15">
        <v>8</v>
      </c>
      <c r="C7" s="15">
        <v>1</v>
      </c>
      <c r="D7" s="15" t="s">
        <v>89</v>
      </c>
    </row>
    <row r="8" spans="1:11" ht="30" x14ac:dyDescent="0.25">
      <c r="A8" s="31" t="s">
        <v>90</v>
      </c>
      <c r="B8" s="15">
        <v>8</v>
      </c>
      <c r="C8" s="15">
        <v>1</v>
      </c>
      <c r="D8" s="15" t="s">
        <v>91</v>
      </c>
    </row>
    <row r="9" spans="1:11" ht="45" x14ac:dyDescent="0.25">
      <c r="A9" s="31" t="s">
        <v>92</v>
      </c>
      <c r="B9" s="15">
        <v>8</v>
      </c>
      <c r="C9" s="15" t="s">
        <v>93</v>
      </c>
      <c r="D9" s="15" t="s">
        <v>94</v>
      </c>
    </row>
    <row r="10" spans="1:11" ht="60" x14ac:dyDescent="0.25">
      <c r="A10" s="31" t="s">
        <v>95</v>
      </c>
      <c r="B10" s="15">
        <v>8</v>
      </c>
      <c r="C10" s="15" t="s">
        <v>96</v>
      </c>
      <c r="D10" s="15" t="s">
        <v>97</v>
      </c>
    </row>
    <row r="11" spans="1:11" ht="30" x14ac:dyDescent="0.25">
      <c r="A11" s="61" t="s">
        <v>98</v>
      </c>
      <c r="B11" s="15">
        <v>51</v>
      </c>
      <c r="C11" s="15">
        <v>0.1</v>
      </c>
      <c r="D11" s="15" t="s">
        <v>99</v>
      </c>
    </row>
    <row r="12" spans="1:11" x14ac:dyDescent="0.25">
      <c r="A12" s="33" t="s">
        <v>127</v>
      </c>
      <c r="B12" s="15">
        <v>51</v>
      </c>
      <c r="C12" s="15">
        <v>0.1</v>
      </c>
      <c r="D12" s="15" t="s">
        <v>128</v>
      </c>
    </row>
    <row r="13" spans="1:11" ht="30" x14ac:dyDescent="0.25">
      <c r="A13" s="61" t="s">
        <v>100</v>
      </c>
      <c r="B13" s="15">
        <v>51</v>
      </c>
      <c r="C13" s="15">
        <v>0.1</v>
      </c>
      <c r="D13" s="15" t="s">
        <v>101</v>
      </c>
    </row>
    <row r="14" spans="1:11" ht="30" x14ac:dyDescent="0.25">
      <c r="A14" s="32" t="s">
        <v>102</v>
      </c>
      <c r="B14" s="15">
        <v>51</v>
      </c>
      <c r="C14" s="15">
        <v>1</v>
      </c>
      <c r="D14" s="15" t="s">
        <v>103</v>
      </c>
    </row>
    <row r="15" spans="1:11" ht="30" x14ac:dyDescent="0.25">
      <c r="A15" s="32" t="s">
        <v>104</v>
      </c>
      <c r="B15" s="15">
        <v>51</v>
      </c>
      <c r="C15" s="15">
        <v>1</v>
      </c>
      <c r="D15" s="15" t="s">
        <v>105</v>
      </c>
    </row>
    <row r="16" spans="1:11" ht="30" x14ac:dyDescent="0.25">
      <c r="A16" s="35" t="s">
        <v>106</v>
      </c>
      <c r="B16" s="15">
        <v>51</v>
      </c>
      <c r="C16" s="15">
        <v>-1</v>
      </c>
      <c r="D16" s="15" t="s">
        <v>107</v>
      </c>
    </row>
    <row r="17" spans="1:4" ht="45" x14ac:dyDescent="0.25">
      <c r="A17" s="32" t="s">
        <v>108</v>
      </c>
      <c r="B17" s="15">
        <v>51</v>
      </c>
      <c r="C17" s="15">
        <v>1</v>
      </c>
      <c r="D17" s="15" t="s">
        <v>109</v>
      </c>
    </row>
    <row r="18" spans="1:4" ht="45" x14ac:dyDescent="0.25">
      <c r="A18" s="32" t="s">
        <v>110</v>
      </c>
      <c r="B18" s="15">
        <v>51</v>
      </c>
      <c r="C18" s="15">
        <v>1</v>
      </c>
      <c r="D18" s="15" t="s">
        <v>111</v>
      </c>
    </row>
    <row r="19" spans="1:4" ht="45" x14ac:dyDescent="0.25">
      <c r="A19" s="31" t="s">
        <v>112</v>
      </c>
      <c r="B19" s="15">
        <v>8</v>
      </c>
      <c r="C19" s="15" t="s">
        <v>113</v>
      </c>
      <c r="D19" s="15" t="s">
        <v>114</v>
      </c>
    </row>
    <row r="20" spans="1:4" ht="45" x14ac:dyDescent="0.25">
      <c r="A20" s="31" t="s">
        <v>115</v>
      </c>
      <c r="B20" s="15">
        <v>8</v>
      </c>
      <c r="C20" s="15" t="s">
        <v>116</v>
      </c>
      <c r="D20" s="15" t="s">
        <v>117</v>
      </c>
    </row>
    <row r="21" spans="1:4" ht="30" x14ac:dyDescent="0.25">
      <c r="A21" s="33" t="s">
        <v>118</v>
      </c>
      <c r="B21" s="15">
        <v>8</v>
      </c>
      <c r="C21" s="15">
        <v>1</v>
      </c>
      <c r="D21" s="15" t="s">
        <v>119</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10"/>
  <sheetViews>
    <sheetView tabSelected="1"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208</v>
      </c>
      <c r="C1" s="8" t="s">
        <v>21</v>
      </c>
      <c r="D1" s="8" t="s">
        <v>22</v>
      </c>
      <c r="E1" s="8" t="s">
        <v>23</v>
      </c>
    </row>
    <row r="2" spans="1:5" x14ac:dyDescent="0.25">
      <c r="A2" s="8" t="s">
        <v>29</v>
      </c>
      <c r="C2" s="8" t="s">
        <v>24</v>
      </c>
      <c r="D2" s="8" t="s">
        <v>25</v>
      </c>
      <c r="E2" s="8" t="s">
        <v>26</v>
      </c>
    </row>
    <row r="3" spans="1:5" x14ac:dyDescent="0.25">
      <c r="A3" s="8" t="s">
        <v>209</v>
      </c>
      <c r="C3" s="8" t="s">
        <v>30</v>
      </c>
      <c r="D3" s="8" t="s">
        <v>25</v>
      </c>
      <c r="E3" s="8" t="s">
        <v>28</v>
      </c>
    </row>
    <row r="4" spans="1:5" x14ac:dyDescent="0.25">
      <c r="A4" s="8" t="s">
        <v>210</v>
      </c>
      <c r="C4" s="8" t="s">
        <v>34</v>
      </c>
      <c r="D4" s="8" t="s">
        <v>25</v>
      </c>
      <c r="E4" s="8" t="s">
        <v>28</v>
      </c>
    </row>
    <row r="5" spans="1:5" x14ac:dyDescent="0.25">
      <c r="A5" s="8" t="s">
        <v>35</v>
      </c>
      <c r="C5"/>
      <c r="D5"/>
      <c r="E5"/>
    </row>
    <row r="6" spans="1:5" x14ac:dyDescent="0.25">
      <c r="A6" s="8" t="s">
        <v>36</v>
      </c>
      <c r="C6"/>
      <c r="D6"/>
      <c r="E6"/>
    </row>
    <row r="7" spans="1:5" x14ac:dyDescent="0.25">
      <c r="A7" s="8" t="s">
        <v>211</v>
      </c>
    </row>
    <row r="8" spans="1:5" x14ac:dyDescent="0.25">
      <c r="A8" s="8" t="s">
        <v>212</v>
      </c>
    </row>
    <row r="9" spans="1:5" x14ac:dyDescent="0.25">
      <c r="A9" s="8" t="s">
        <v>213</v>
      </c>
    </row>
    <row r="10" spans="1:5" x14ac:dyDescent="0.25">
      <c r="A10" s="8" t="s">
        <v>214</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37</v>
      </c>
      <c r="B1" s="11" t="s">
        <v>27</v>
      </c>
      <c r="C1" s="12" t="s">
        <v>30</v>
      </c>
      <c r="D1" s="13" t="s">
        <v>31</v>
      </c>
      <c r="E1" s="12" t="s">
        <v>32</v>
      </c>
      <c r="F1" s="13" t="s">
        <v>33</v>
      </c>
      <c r="G1" s="13" t="s">
        <v>153</v>
      </c>
      <c r="H1" s="13" t="s">
        <v>34</v>
      </c>
      <c r="I1" s="12" t="s">
        <v>24</v>
      </c>
    </row>
    <row r="2" spans="1:12" ht="39" thickTop="1" thickBot="1" x14ac:dyDescent="0.3">
      <c r="A2" s="12" t="s">
        <v>153</v>
      </c>
      <c r="B2" s="6" t="s">
        <v>38</v>
      </c>
      <c r="C2" s="5" t="s">
        <v>38</v>
      </c>
      <c r="D2" s="5" t="s">
        <v>38</v>
      </c>
      <c r="E2" s="5" t="s">
        <v>39</v>
      </c>
      <c r="F2" s="5" t="s">
        <v>39</v>
      </c>
      <c r="G2" s="5" t="s">
        <v>39</v>
      </c>
      <c r="H2" s="5" t="s">
        <v>39</v>
      </c>
      <c r="I2" s="5" t="s">
        <v>41</v>
      </c>
      <c r="L2" s="16" t="s">
        <v>40</v>
      </c>
    </row>
    <row r="3" spans="1:12" ht="39" thickTop="1" thickBot="1" x14ac:dyDescent="0.3">
      <c r="A3" s="22" t="s">
        <v>27</v>
      </c>
      <c r="B3" s="7" t="s">
        <v>39</v>
      </c>
      <c r="C3" s="7" t="s">
        <v>39</v>
      </c>
      <c r="D3" s="7" t="s">
        <v>39</v>
      </c>
      <c r="E3" s="7" t="s">
        <v>39</v>
      </c>
      <c r="F3" s="7" t="s">
        <v>39</v>
      </c>
      <c r="G3" s="7" t="s">
        <v>39</v>
      </c>
      <c r="H3" s="7" t="s">
        <v>39</v>
      </c>
      <c r="I3" s="5" t="s">
        <v>41</v>
      </c>
      <c r="L3" s="16" t="s">
        <v>42</v>
      </c>
    </row>
    <row r="4" spans="1:12" ht="20.25" thickTop="1" thickBot="1" x14ac:dyDescent="0.3">
      <c r="A4" s="21" t="s">
        <v>30</v>
      </c>
      <c r="B4" s="5" t="s">
        <v>38</v>
      </c>
      <c r="C4" s="5" t="s">
        <v>41</v>
      </c>
      <c r="D4" s="5" t="s">
        <v>38</v>
      </c>
      <c r="E4" s="5" t="s">
        <v>41</v>
      </c>
      <c r="F4" s="5" t="s">
        <v>38</v>
      </c>
      <c r="G4" s="5" t="s">
        <v>38</v>
      </c>
      <c r="H4" s="5" t="s">
        <v>38</v>
      </c>
      <c r="I4" s="5" t="s">
        <v>41</v>
      </c>
      <c r="L4" s="17" t="s">
        <v>43</v>
      </c>
    </row>
    <row r="5" spans="1:12" ht="39" thickTop="1" thickBot="1" x14ac:dyDescent="0.3">
      <c r="A5" s="22" t="s">
        <v>31</v>
      </c>
      <c r="B5" s="5" t="s">
        <v>38</v>
      </c>
      <c r="C5" s="5" t="s">
        <v>38</v>
      </c>
      <c r="D5" s="5" t="s">
        <v>41</v>
      </c>
      <c r="E5" s="5" t="s">
        <v>38</v>
      </c>
      <c r="F5" s="5" t="s">
        <v>38</v>
      </c>
      <c r="G5" s="5" t="s">
        <v>38</v>
      </c>
      <c r="H5" s="3" t="s">
        <v>38</v>
      </c>
      <c r="I5" s="5" t="s">
        <v>41</v>
      </c>
      <c r="L5" s="17" t="s">
        <v>44</v>
      </c>
    </row>
    <row r="6" spans="1:12" ht="39" thickTop="1" thickBot="1" x14ac:dyDescent="0.3">
      <c r="A6" s="21" t="s">
        <v>32</v>
      </c>
      <c r="B6" s="5" t="s">
        <v>38</v>
      </c>
      <c r="C6" s="5" t="s">
        <v>41</v>
      </c>
      <c r="D6" s="5" t="s">
        <v>38</v>
      </c>
      <c r="E6" s="5" t="s">
        <v>38</v>
      </c>
      <c r="F6" s="5" t="s">
        <v>38</v>
      </c>
      <c r="G6" s="5" t="s">
        <v>38</v>
      </c>
      <c r="H6" s="5" t="s">
        <v>38</v>
      </c>
      <c r="I6" s="5" t="s">
        <v>38</v>
      </c>
      <c r="L6" s="18" t="s">
        <v>45</v>
      </c>
    </row>
    <row r="7" spans="1:12" ht="20.25" thickTop="1" thickBot="1" x14ac:dyDescent="0.3">
      <c r="A7" s="22" t="s">
        <v>33</v>
      </c>
      <c r="B7" s="5" t="s">
        <v>38</v>
      </c>
      <c r="C7" s="4" t="s">
        <v>38</v>
      </c>
      <c r="D7" s="5" t="s">
        <v>38</v>
      </c>
      <c r="E7" s="5" t="s">
        <v>38</v>
      </c>
      <c r="F7" s="5" t="s">
        <v>38</v>
      </c>
      <c r="G7" s="6" t="s">
        <v>38</v>
      </c>
      <c r="H7" s="6" t="s">
        <v>38</v>
      </c>
      <c r="I7" s="5" t="s">
        <v>41</v>
      </c>
      <c r="L7" s="17" t="s">
        <v>46</v>
      </c>
    </row>
    <row r="8" spans="1:12" ht="38.25" thickBot="1" x14ac:dyDescent="0.3">
      <c r="A8" s="12" t="s">
        <v>34</v>
      </c>
      <c r="B8" s="5" t="s">
        <v>38</v>
      </c>
      <c r="C8" s="5" t="s">
        <v>38</v>
      </c>
      <c r="D8" s="5" t="s">
        <v>38</v>
      </c>
      <c r="E8" s="5" t="s">
        <v>38</v>
      </c>
      <c r="F8" s="5" t="s">
        <v>38</v>
      </c>
      <c r="G8" s="5" t="s">
        <v>38</v>
      </c>
      <c r="H8" s="5" t="s">
        <v>38</v>
      </c>
      <c r="I8" s="5" t="s">
        <v>41</v>
      </c>
    </row>
    <row r="9" spans="1:12" ht="38.25" thickBot="1" x14ac:dyDescent="0.3">
      <c r="A9" s="22" t="s">
        <v>24</v>
      </c>
      <c r="B9" s="14" t="s">
        <v>47</v>
      </c>
      <c r="C9" s="14" t="s">
        <v>47</v>
      </c>
      <c r="D9" s="14" t="s">
        <v>48</v>
      </c>
      <c r="E9" s="14" t="s">
        <v>47</v>
      </c>
      <c r="F9" s="14" t="s">
        <v>47</v>
      </c>
      <c r="G9" s="14" t="s">
        <v>48</v>
      </c>
      <c r="H9" s="14" t="s">
        <v>47</v>
      </c>
      <c r="I9" s="14" t="s">
        <v>47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0"/>
  <sheetViews>
    <sheetView zoomScale="108" workbookViewId="0"/>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49</v>
      </c>
      <c r="B1" s="20" t="s">
        <v>50</v>
      </c>
    </row>
    <row r="2" spans="1:11" ht="18.75" x14ac:dyDescent="0.25">
      <c r="A2" s="10" t="s">
        <v>30</v>
      </c>
      <c r="B2" s="47">
        <v>3089</v>
      </c>
      <c r="C2"/>
    </row>
    <row r="3" spans="1:11" ht="37.5" x14ac:dyDescent="0.25">
      <c r="A3" s="10" t="s">
        <v>34</v>
      </c>
      <c r="B3" s="47">
        <v>11771</v>
      </c>
      <c r="C3"/>
      <c r="D3" s="2"/>
      <c r="E3" s="2"/>
      <c r="F3" s="2"/>
      <c r="G3" s="2"/>
      <c r="H3" s="2"/>
      <c r="I3" s="2"/>
      <c r="J3" s="2"/>
      <c r="K3" s="2"/>
    </row>
    <row r="4" spans="1:11" ht="37.5" x14ac:dyDescent="0.25">
      <c r="A4" s="10" t="s">
        <v>24</v>
      </c>
      <c r="B4" s="47">
        <v>74366</v>
      </c>
      <c r="C4"/>
      <c r="D4" s="2"/>
      <c r="E4" s="2"/>
      <c r="F4" s="2"/>
      <c r="G4" s="2"/>
      <c r="H4" s="2"/>
      <c r="I4" s="2"/>
      <c r="J4" s="2"/>
      <c r="K4" s="2"/>
    </row>
    <row r="5" spans="1:11" ht="15.75" x14ac:dyDescent="0.25">
      <c r="A5" s="24" t="s">
        <v>14</v>
      </c>
      <c r="B5" s="24">
        <f>SUM(B2:B4)</f>
        <v>89226</v>
      </c>
      <c r="C5" s="2"/>
      <c r="D5" s="2"/>
      <c r="E5" s="2"/>
      <c r="F5" s="2"/>
      <c r="G5" s="2"/>
      <c r="H5" s="2"/>
      <c r="I5" s="2"/>
      <c r="J5" s="2"/>
      <c r="K5" s="2"/>
    </row>
    <row r="6" spans="1:11" x14ac:dyDescent="0.25">
      <c r="A6" s="28"/>
      <c r="B6" s="8">
        <f>GetColorCountPopInt($B$2:$B$4,A6)</f>
        <v>3</v>
      </c>
    </row>
    <row r="7" spans="1:11" x14ac:dyDescent="0.25">
      <c r="A7" s="30"/>
      <c r="B7" s="8">
        <f>GetColorCountPopInt($B$2:$B$4,A7)</f>
        <v>0</v>
      </c>
    </row>
    <row r="8" spans="1:11" x14ac:dyDescent="0.25">
      <c r="A8" s="29"/>
      <c r="B8" s="8">
        <f>GetColorCountPopInt($B$2:$B$4,A8)</f>
        <v>0</v>
      </c>
    </row>
    <row r="9" spans="1:11" x14ac:dyDescent="0.25">
      <c r="A9" s="39"/>
      <c r="B9" s="8">
        <f>GetColorCountPopInt($B$2:$B$4,A9)</f>
        <v>0</v>
      </c>
      <c r="C9" s="19"/>
      <c r="D9" s="1"/>
    </row>
    <row r="10" spans="1:11" x14ac:dyDescent="0.25">
      <c r="A10" s="38"/>
      <c r="B10" s="8">
        <f>GetColorCountPopInt($B$2:$B$4,A10)</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9"/>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52</v>
      </c>
      <c r="B1" s="24" t="s">
        <v>53</v>
      </c>
      <c r="C1" s="24" t="s">
        <v>54</v>
      </c>
      <c r="D1" s="24" t="s">
        <v>55</v>
      </c>
      <c r="E1" s="24" t="s">
        <v>56</v>
      </c>
      <c r="F1" s="24" t="s">
        <v>57</v>
      </c>
      <c r="G1" s="24" t="s">
        <v>58</v>
      </c>
      <c r="H1" s="24" t="s">
        <v>59</v>
      </c>
      <c r="I1" s="24" t="s">
        <v>60</v>
      </c>
      <c r="J1" s="24" t="s">
        <v>61</v>
      </c>
      <c r="K1" s="24" t="s">
        <v>62</v>
      </c>
      <c r="L1" s="24" t="s">
        <v>63</v>
      </c>
      <c r="M1" s="24" t="s">
        <v>64</v>
      </c>
      <c r="N1" s="24" t="s">
        <v>65</v>
      </c>
      <c r="O1" s="24" t="s">
        <v>66</v>
      </c>
      <c r="P1" s="24" t="s">
        <v>67</v>
      </c>
      <c r="Q1" s="24" t="s">
        <v>68</v>
      </c>
      <c r="R1" s="24" t="s">
        <v>69</v>
      </c>
      <c r="S1" s="24" t="s">
        <v>70</v>
      </c>
      <c r="T1" s="8"/>
    </row>
    <row r="2" spans="1:20" ht="18.75" x14ac:dyDescent="0.25">
      <c r="A2" s="10" t="s">
        <v>30</v>
      </c>
      <c r="B2" s="51">
        <v>0.99517290000000003</v>
      </c>
      <c r="C2" s="60">
        <v>0</v>
      </c>
      <c r="D2" s="51">
        <v>3.8461860000000001E-3</v>
      </c>
      <c r="E2" s="60">
        <v>0</v>
      </c>
      <c r="F2" s="51">
        <v>9.2642764999999994</v>
      </c>
      <c r="G2" s="60">
        <v>0</v>
      </c>
      <c r="H2" s="51">
        <v>-6</v>
      </c>
      <c r="I2" s="60">
        <v>0</v>
      </c>
      <c r="J2" s="51">
        <v>45</v>
      </c>
      <c r="K2" s="60">
        <v>0</v>
      </c>
      <c r="L2" s="51">
        <v>-57.506126000000002</v>
      </c>
      <c r="M2" s="60">
        <v>0</v>
      </c>
      <c r="N2" s="51">
        <v>-23.378765999999999</v>
      </c>
      <c r="O2" s="60">
        <v>0</v>
      </c>
      <c r="P2" s="51">
        <v>-47.555661000000001</v>
      </c>
      <c r="Q2" s="60">
        <v>0</v>
      </c>
      <c r="R2" s="51">
        <v>18.454934000000002</v>
      </c>
      <c r="S2" s="60">
        <v>0</v>
      </c>
      <c r="T2" s="8"/>
    </row>
    <row r="3" spans="1:20" ht="18.75" x14ac:dyDescent="0.25">
      <c r="A3" s="10" t="s">
        <v>34</v>
      </c>
      <c r="B3" s="51">
        <v>1.37980713457205</v>
      </c>
      <c r="C3" s="60">
        <v>0</v>
      </c>
      <c r="D3" s="51">
        <v>7.8380597936410397E-3</v>
      </c>
      <c r="E3" s="60">
        <v>0</v>
      </c>
      <c r="F3" s="51">
        <v>12.9332855397722</v>
      </c>
      <c r="G3" s="60">
        <v>0</v>
      </c>
      <c r="H3" s="51">
        <v>0</v>
      </c>
      <c r="I3" s="60">
        <v>0</v>
      </c>
      <c r="J3" s="51">
        <v>209</v>
      </c>
      <c r="K3" s="60">
        <v>0</v>
      </c>
      <c r="L3" s="51">
        <v>-57.076423571379003</v>
      </c>
      <c r="M3" s="60">
        <v>0</v>
      </c>
      <c r="N3" s="51">
        <v>-39.102042784176199</v>
      </c>
      <c r="O3" s="60">
        <v>0</v>
      </c>
      <c r="P3" s="51">
        <v>-40.680664885269501</v>
      </c>
      <c r="Q3" s="60">
        <v>0</v>
      </c>
      <c r="R3" s="51">
        <v>16.3132681887705</v>
      </c>
      <c r="S3" s="60">
        <v>0</v>
      </c>
      <c r="T3" s="8"/>
    </row>
    <row r="4" spans="1:20" ht="18.75" x14ac:dyDescent="0.25">
      <c r="A4" s="10" t="s">
        <v>24</v>
      </c>
      <c r="B4" s="51">
        <v>0.79233870378958104</v>
      </c>
      <c r="C4" s="60">
        <v>0</v>
      </c>
      <c r="D4" s="51">
        <v>8.3835033409827894E-3</v>
      </c>
      <c r="E4" s="60">
        <v>0</v>
      </c>
      <c r="F4" s="51">
        <v>-42.552477688392798</v>
      </c>
      <c r="G4" s="60">
        <v>0</v>
      </c>
      <c r="H4" s="51">
        <v>588</v>
      </c>
      <c r="I4" s="60">
        <v>0</v>
      </c>
      <c r="J4" s="51">
        <v>366</v>
      </c>
      <c r="K4" s="60">
        <v>0</v>
      </c>
      <c r="L4" s="51">
        <v>-63.204400817165499</v>
      </c>
      <c r="M4" s="60">
        <v>0</v>
      </c>
      <c r="N4" s="51">
        <v>-33.604173312426703</v>
      </c>
      <c r="O4" s="60">
        <v>0</v>
      </c>
      <c r="P4" s="51">
        <v>-38.868099029409102</v>
      </c>
      <c r="Q4" s="60">
        <v>0</v>
      </c>
      <c r="R4" s="51">
        <v>35.861464855872597</v>
      </c>
      <c r="S4" s="60">
        <v>0</v>
      </c>
      <c r="T4" s="8"/>
    </row>
    <row r="5" spans="1:20" x14ac:dyDescent="0.25">
      <c r="A5" s="28"/>
      <c r="B5">
        <f>GetColorCountIM($B$2:$S$4,A5)</f>
        <v>27</v>
      </c>
    </row>
    <row r="6" spans="1:20" x14ac:dyDescent="0.25">
      <c r="A6" s="30"/>
      <c r="B6">
        <f>GetColorCountIM($B$2:$S$4,A6)</f>
        <v>0</v>
      </c>
    </row>
    <row r="7" spans="1:20" x14ac:dyDescent="0.25">
      <c r="A7" s="29"/>
      <c r="B7">
        <f>GetColorCountIM($B$2:$S$4,A7)</f>
        <v>0</v>
      </c>
    </row>
    <row r="8" spans="1:20" x14ac:dyDescent="0.25">
      <c r="A8" s="39"/>
      <c r="B8">
        <f>GetColorCountIM($B$2:$S$4,A8)</f>
        <v>27</v>
      </c>
    </row>
    <row r="9" spans="1:20" x14ac:dyDescent="0.25">
      <c r="A9" s="38"/>
      <c r="B9">
        <f>GetColorCountIM($B$2:$S$4,A9)</f>
        <v>0</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G12"/>
  <sheetViews>
    <sheetView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7" ht="56.25" x14ac:dyDescent="0.25">
      <c r="A1" s="9" t="s">
        <v>37</v>
      </c>
      <c r="B1" s="10" t="s">
        <v>30</v>
      </c>
      <c r="C1" s="10" t="s">
        <v>34</v>
      </c>
      <c r="D1" s="10" t="s">
        <v>24</v>
      </c>
    </row>
    <row r="2" spans="1:7" ht="18.75" x14ac:dyDescent="0.25">
      <c r="A2" s="10" t="s">
        <v>30</v>
      </c>
      <c r="B2" s="49">
        <v>6.6313690922404399E-3</v>
      </c>
      <c r="C2" s="49">
        <v>5.7367560216727903E-3</v>
      </c>
      <c r="D2" s="49">
        <v>0.14999999521148999</v>
      </c>
    </row>
    <row r="3" spans="1:7" ht="33" customHeight="1" x14ac:dyDescent="0.25">
      <c r="A3" s="10" t="s">
        <v>34</v>
      </c>
      <c r="B3" s="47">
        <v>1.1734508700195699E-2</v>
      </c>
      <c r="C3" s="48">
        <v>9.1390193834438894E-3</v>
      </c>
      <c r="D3" s="48">
        <v>6.3783680507304902E-2</v>
      </c>
    </row>
    <row r="4" spans="1:7" ht="37.5" x14ac:dyDescent="0.25">
      <c r="A4" s="10" t="s">
        <v>24</v>
      </c>
      <c r="B4" s="48">
        <v>1.6174657906921401E-2</v>
      </c>
      <c r="C4" s="48">
        <v>1.7673141754834702E-2</v>
      </c>
      <c r="D4" s="48">
        <v>2.5066466223198299E-2</v>
      </c>
    </row>
    <row r="5" spans="1:7" x14ac:dyDescent="0.25">
      <c r="A5" s="28"/>
      <c r="B5">
        <f>GetColorCountConnInt($B$2:$D$4,A5)</f>
        <v>6</v>
      </c>
    </row>
    <row r="6" spans="1:7" x14ac:dyDescent="0.25">
      <c r="A6" s="30"/>
      <c r="B6">
        <f>GetColorCountConnInt($B$2:$D$4,A6)</f>
        <v>0</v>
      </c>
    </row>
    <row r="7" spans="1:7" x14ac:dyDescent="0.25">
      <c r="A7" s="29"/>
      <c r="B7">
        <f>GetColorCountConnInt($B$2:$D$4,A7)</f>
        <v>0</v>
      </c>
    </row>
    <row r="8" spans="1:7" x14ac:dyDescent="0.25">
      <c r="A8" s="39"/>
      <c r="B8">
        <f>GetColorCountConnInt($B$2:$D$4,A8)</f>
        <v>3</v>
      </c>
    </row>
    <row r="9" spans="1:7" x14ac:dyDescent="0.25">
      <c r="A9" s="38"/>
      <c r="B9">
        <f>GetColorCountConnInt($B$2:$D$4,A9)</f>
        <v>0</v>
      </c>
    </row>
    <row r="12" spans="1:7" x14ac:dyDescent="0.25">
      <c r="G12" s="1"/>
    </row>
  </sheetData>
  <conditionalFormatting sqref="B3">
    <cfRule type="cellIs" dxfId="0" priority="7" operator="greaterThanOrEqual">
      <formula>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9"/>
  <sheetViews>
    <sheetView zoomScaleNormal="100" workbookViewId="0"/>
  </sheetViews>
  <sheetFormatPr defaultColWidth="8.85546875" defaultRowHeight="15" x14ac:dyDescent="0.25"/>
  <cols>
    <col min="1" max="1" width="79.5703125" bestFit="1"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59" t="s">
        <v>154</v>
      </c>
      <c r="B1" s="59" t="s">
        <v>158</v>
      </c>
      <c r="C1" s="59" t="s">
        <v>159</v>
      </c>
      <c r="D1" s="59" t="s">
        <v>160</v>
      </c>
      <c r="E1" s="59" t="s">
        <v>161</v>
      </c>
      <c r="F1" s="59" t="s">
        <v>162</v>
      </c>
      <c r="G1" s="59" t="s">
        <v>163</v>
      </c>
    </row>
    <row r="2" spans="1:17" x14ac:dyDescent="0.25">
      <c r="A2" s="59" t="s">
        <v>155</v>
      </c>
      <c r="B2" s="47">
        <v>2.1396062329999999</v>
      </c>
      <c r="C2" s="40">
        <v>0</v>
      </c>
      <c r="D2" s="47">
        <v>1.681117626</v>
      </c>
      <c r="E2" s="40">
        <v>0</v>
      </c>
      <c r="F2" s="47">
        <v>2.4632035829999999</v>
      </c>
      <c r="G2" s="40">
        <v>0</v>
      </c>
    </row>
    <row r="3" spans="1:17" x14ac:dyDescent="0.25">
      <c r="A3" s="59" t="s">
        <v>156</v>
      </c>
      <c r="B3" s="47">
        <v>1.450174133</v>
      </c>
      <c r="C3" s="40">
        <v>0</v>
      </c>
      <c r="D3" s="47">
        <v>1.8284130059999999</v>
      </c>
      <c r="E3" s="40">
        <v>0</v>
      </c>
      <c r="F3" s="47">
        <v>1.915443373</v>
      </c>
      <c r="G3" s="40">
        <v>0</v>
      </c>
    </row>
    <row r="4" spans="1:17" x14ac:dyDescent="0.25">
      <c r="A4" s="59" t="s">
        <v>157</v>
      </c>
      <c r="B4" s="47">
        <v>0.910763922</v>
      </c>
      <c r="C4" s="40">
        <v>0</v>
      </c>
      <c r="D4" s="47">
        <v>1.1189713910000001</v>
      </c>
      <c r="E4" s="40">
        <v>0</v>
      </c>
      <c r="F4" s="47">
        <v>0.30418436300000001</v>
      </c>
      <c r="G4" s="40">
        <v>0</v>
      </c>
    </row>
    <row r="5" spans="1:17" x14ac:dyDescent="0.25">
      <c r="A5" s="28"/>
      <c r="B5" s="8">
        <f>GetColorCountSynCondInt($B$2:$G$4,A5)</f>
        <v>9</v>
      </c>
      <c r="C5" s="8"/>
      <c r="D5" s="8"/>
      <c r="E5" s="8"/>
      <c r="F5" s="8"/>
      <c r="G5" s="8"/>
      <c r="H5" s="8"/>
      <c r="I5" s="8"/>
      <c r="J5" s="8"/>
      <c r="K5" s="8"/>
      <c r="L5" s="8"/>
      <c r="M5" s="8"/>
      <c r="N5" s="8"/>
      <c r="O5" s="8"/>
      <c r="P5" s="8"/>
      <c r="Q5" s="8"/>
    </row>
    <row r="6" spans="1:17" x14ac:dyDescent="0.25">
      <c r="A6" s="30"/>
      <c r="B6" s="8">
        <f>GetColorCountSynCondInt($B$2:$G$4,A6)</f>
        <v>0</v>
      </c>
      <c r="C6" s="8"/>
      <c r="D6" s="8"/>
      <c r="E6" s="8"/>
      <c r="F6" s="8"/>
      <c r="G6" s="8"/>
      <c r="H6" s="8"/>
      <c r="I6" s="8"/>
      <c r="J6" s="8"/>
      <c r="K6" s="8"/>
      <c r="L6" s="8"/>
      <c r="M6" s="8"/>
      <c r="N6" s="8"/>
      <c r="O6" s="8"/>
      <c r="P6" s="8"/>
      <c r="Q6" s="8"/>
    </row>
    <row r="7" spans="1:17" x14ac:dyDescent="0.25">
      <c r="A7" s="29"/>
      <c r="B7" s="8">
        <f>GetColorCountSynCondInt($B$2:$G$4,A7)</f>
        <v>0</v>
      </c>
      <c r="C7" s="8"/>
      <c r="D7" s="8"/>
      <c r="E7" s="8"/>
      <c r="F7" s="8"/>
      <c r="G7" s="8"/>
      <c r="H7" s="8"/>
      <c r="I7" s="8"/>
      <c r="J7" s="8"/>
      <c r="K7" s="8"/>
      <c r="L7" s="8"/>
      <c r="M7" s="8"/>
      <c r="N7" s="8"/>
      <c r="O7" s="8"/>
      <c r="P7" s="8"/>
      <c r="Q7" s="8"/>
    </row>
    <row r="8" spans="1:17" x14ac:dyDescent="0.25">
      <c r="A8" s="39"/>
      <c r="B8" s="8">
        <f>GetColorCountSynCondInt($B$2:$G$4,A8)</f>
        <v>9</v>
      </c>
      <c r="C8" s="8"/>
      <c r="D8" s="8"/>
      <c r="E8" s="8"/>
      <c r="F8" s="8"/>
      <c r="G8" s="8"/>
      <c r="H8" s="8"/>
      <c r="I8" s="8"/>
      <c r="J8" s="8"/>
      <c r="K8" s="8"/>
      <c r="L8" s="8"/>
      <c r="M8" s="8"/>
      <c r="N8" s="8"/>
      <c r="O8" s="8"/>
      <c r="P8" s="8"/>
      <c r="Q8" s="8"/>
    </row>
    <row r="9" spans="1:17" x14ac:dyDescent="0.25">
      <c r="A9" s="56"/>
      <c r="B9" s="8">
        <f>GetColorCountSynCondInt($B$2:$G$4,A9)</f>
        <v>0</v>
      </c>
      <c r="C9" s="8"/>
      <c r="D9" s="8"/>
      <c r="E9" s="8"/>
      <c r="F9" s="8"/>
      <c r="G9" s="8"/>
      <c r="H9" s="8"/>
      <c r="I9" s="8"/>
      <c r="J9" s="8"/>
      <c r="K9" s="8"/>
      <c r="L9" s="8"/>
      <c r="M9" s="8"/>
      <c r="N9" s="8"/>
      <c r="O9" s="8"/>
      <c r="P9" s="8"/>
      <c r="Q9" s="8"/>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G4"/>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22.85546875" style="8" bestFit="1" customWidth="1"/>
    <col min="5" max="5" width="20.42578125" style="8" bestFit="1" customWidth="1"/>
    <col min="6" max="6" width="20.85546875" style="8" bestFit="1" customWidth="1"/>
    <col min="7" max="7" width="18.570312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7" ht="30" x14ac:dyDescent="0.25">
      <c r="A1" s="63" t="s">
        <v>204</v>
      </c>
      <c r="B1" s="64" t="s">
        <v>131</v>
      </c>
      <c r="C1" s="64" t="s">
        <v>134</v>
      </c>
      <c r="D1" s="64" t="s">
        <v>132</v>
      </c>
      <c r="E1" s="64" t="s">
        <v>135</v>
      </c>
      <c r="F1" s="64" t="s">
        <v>133</v>
      </c>
      <c r="G1" s="64" t="s">
        <v>136</v>
      </c>
    </row>
    <row r="2" spans="1:7" x14ac:dyDescent="0.25">
      <c r="A2" s="64" t="s">
        <v>30</v>
      </c>
      <c r="B2" s="62">
        <v>1</v>
      </c>
      <c r="C2" s="62">
        <v>0</v>
      </c>
      <c r="D2" s="62">
        <v>1</v>
      </c>
      <c r="E2" s="62">
        <v>0</v>
      </c>
      <c r="F2" s="62">
        <v>1</v>
      </c>
      <c r="G2" s="62">
        <v>0</v>
      </c>
    </row>
    <row r="3" spans="1:7" x14ac:dyDescent="0.25">
      <c r="A3" s="64" t="s">
        <v>34</v>
      </c>
      <c r="B3" s="62">
        <v>1</v>
      </c>
      <c r="C3" s="62">
        <v>0</v>
      </c>
      <c r="D3" s="62">
        <v>1</v>
      </c>
      <c r="E3" s="62">
        <v>0</v>
      </c>
      <c r="F3" s="62">
        <v>1</v>
      </c>
      <c r="G3" s="62">
        <v>0</v>
      </c>
    </row>
    <row r="4" spans="1:7" x14ac:dyDescent="0.25">
      <c r="A4" s="64" t="s">
        <v>24</v>
      </c>
      <c r="B4" s="62">
        <v>1</v>
      </c>
      <c r="C4" s="62">
        <v>0</v>
      </c>
      <c r="D4" s="62">
        <v>1</v>
      </c>
      <c r="E4" s="62">
        <v>0</v>
      </c>
      <c r="F4" s="62">
        <v>1</v>
      </c>
      <c r="G4" s="62">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9"/>
  <sheetViews>
    <sheetView workbookViewId="0"/>
  </sheetViews>
  <sheetFormatPr defaultColWidth="8.85546875" defaultRowHeight="15" x14ac:dyDescent="0.25"/>
  <cols>
    <col min="1" max="1" width="17.7109375" bestFit="1"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58" t="s">
        <v>164</v>
      </c>
      <c r="B1" s="58" t="s">
        <v>168</v>
      </c>
      <c r="C1" s="58" t="s">
        <v>169</v>
      </c>
      <c r="D1" s="58" t="s">
        <v>170</v>
      </c>
      <c r="E1" s="58" t="s">
        <v>171</v>
      </c>
      <c r="F1" s="58" t="s">
        <v>172</v>
      </c>
      <c r="G1" s="58" t="s">
        <v>173</v>
      </c>
    </row>
    <row r="2" spans="1:17" x14ac:dyDescent="0.25">
      <c r="A2" s="58" t="s">
        <v>165</v>
      </c>
      <c r="B2" s="47">
        <v>0.162517426384018</v>
      </c>
      <c r="C2" s="40">
        <v>0</v>
      </c>
      <c r="D2" s="47">
        <v>0.17706803494457299</v>
      </c>
      <c r="E2" s="40">
        <v>0</v>
      </c>
      <c r="F2" s="47">
        <v>0.118642073007157</v>
      </c>
      <c r="G2" s="40">
        <v>0</v>
      </c>
    </row>
    <row r="3" spans="1:17" x14ac:dyDescent="0.25">
      <c r="A3" s="58" t="s">
        <v>166</v>
      </c>
      <c r="B3" s="47">
        <v>0.24814064689538001</v>
      </c>
      <c r="C3" s="40">
        <v>0</v>
      </c>
      <c r="D3" s="47">
        <v>0.206752592891043</v>
      </c>
      <c r="E3" s="40">
        <v>0</v>
      </c>
      <c r="F3" s="47">
        <v>0.112589304970516</v>
      </c>
      <c r="G3" s="40">
        <v>0</v>
      </c>
    </row>
    <row r="4" spans="1:17" x14ac:dyDescent="0.25">
      <c r="A4" s="58" t="s">
        <v>167</v>
      </c>
      <c r="B4" s="47">
        <v>0.217145987458849</v>
      </c>
      <c r="C4" s="40">
        <v>0</v>
      </c>
      <c r="D4" s="47">
        <v>0.18285825431372901</v>
      </c>
      <c r="E4" s="40">
        <v>0</v>
      </c>
      <c r="F4" s="47">
        <v>0.27922089864999999</v>
      </c>
      <c r="G4" s="40">
        <v>0</v>
      </c>
    </row>
    <row r="5" spans="1:17" x14ac:dyDescent="0.25">
      <c r="A5" s="28"/>
      <c r="B5" s="8">
        <f>GetColorCountSynResourceInt($B$2:$G$4,A5)</f>
        <v>9</v>
      </c>
      <c r="C5" s="8"/>
      <c r="D5" s="8"/>
      <c r="E5" s="8"/>
      <c r="F5" s="8"/>
      <c r="G5" s="8"/>
      <c r="H5" s="8"/>
      <c r="I5" s="8"/>
      <c r="J5" s="8"/>
      <c r="K5" s="8"/>
      <c r="L5" s="8"/>
      <c r="M5" s="8"/>
      <c r="N5" s="8"/>
      <c r="O5" s="8"/>
      <c r="P5" s="8"/>
      <c r="Q5" s="8"/>
    </row>
    <row r="6" spans="1:17" x14ac:dyDescent="0.25">
      <c r="A6" s="30"/>
      <c r="B6" s="8">
        <f>GetColorCountSynResourceInt($B$2:$G$4,A6)</f>
        <v>0</v>
      </c>
      <c r="C6" s="8"/>
      <c r="D6" s="8"/>
      <c r="E6" s="8"/>
      <c r="F6" s="8"/>
      <c r="G6" s="8"/>
      <c r="H6" s="8"/>
      <c r="I6" s="8"/>
      <c r="J6" s="8"/>
      <c r="K6" s="8"/>
      <c r="L6" s="8"/>
      <c r="M6" s="8"/>
      <c r="N6" s="8"/>
      <c r="O6" s="8"/>
      <c r="P6" s="8"/>
      <c r="Q6" s="8"/>
    </row>
    <row r="7" spans="1:17" x14ac:dyDescent="0.25">
      <c r="A7" s="29"/>
      <c r="B7" s="8">
        <f>GetColorCountSynResourceInt($B$2:$G$4,A7)</f>
        <v>0</v>
      </c>
      <c r="C7" s="8"/>
      <c r="D7" s="8"/>
      <c r="E7" s="8"/>
      <c r="F7" s="8"/>
      <c r="G7" s="8"/>
      <c r="H7" s="8"/>
      <c r="I7" s="8"/>
      <c r="J7" s="8"/>
      <c r="K7" s="8"/>
      <c r="L7" s="8"/>
      <c r="M7" s="8"/>
      <c r="N7" s="8"/>
      <c r="O7" s="8"/>
      <c r="P7" s="8"/>
      <c r="Q7" s="8"/>
    </row>
    <row r="8" spans="1:17" x14ac:dyDescent="0.25">
      <c r="A8" s="39"/>
      <c r="B8" s="8">
        <f>GetColorCountSynResourceInt($B$2:$G$4,A8)</f>
        <v>9</v>
      </c>
      <c r="C8" s="8"/>
      <c r="D8" s="8"/>
      <c r="E8" s="8"/>
      <c r="F8" s="8"/>
      <c r="G8" s="8"/>
      <c r="H8" s="8"/>
      <c r="I8" s="8"/>
      <c r="J8" s="8"/>
      <c r="K8" s="8"/>
      <c r="L8" s="8"/>
      <c r="M8" s="8"/>
      <c r="N8" s="8"/>
      <c r="O8" s="8"/>
      <c r="P8" s="8"/>
      <c r="Q8" s="8"/>
    </row>
    <row r="9" spans="1:17" x14ac:dyDescent="0.25">
      <c r="A9" s="56"/>
      <c r="B9" s="8">
        <f>GetColorCountSynResourceInt($B$2:$G$4,A9)</f>
        <v>0</v>
      </c>
      <c r="C9" s="8"/>
      <c r="D9" s="8"/>
      <c r="E9" s="8"/>
      <c r="F9" s="8"/>
      <c r="G9" s="8"/>
      <c r="H9" s="8"/>
      <c r="I9" s="8"/>
      <c r="J9" s="8"/>
      <c r="K9" s="8"/>
      <c r="L9" s="8"/>
      <c r="M9" s="8"/>
      <c r="N9" s="8"/>
      <c r="O9" s="8"/>
      <c r="P9" s="8"/>
      <c r="Q9" s="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G4"/>
  <sheetViews>
    <sheetView workbookViewId="0"/>
  </sheetViews>
  <sheetFormatPr defaultRowHeight="15" x14ac:dyDescent="0.25"/>
  <cols>
    <col min="1" max="1" width="15.7109375" bestFit="1" customWidth="1"/>
    <col min="2" max="2" width="22.28515625" bestFit="1" customWidth="1"/>
    <col min="3" max="3" width="19.85546875" bestFit="1" customWidth="1"/>
    <col min="4" max="4" width="22.85546875" bestFit="1" customWidth="1"/>
    <col min="5" max="5" width="20.42578125" bestFit="1" customWidth="1"/>
    <col min="6" max="6" width="20.85546875" bestFit="1" customWidth="1"/>
    <col min="7" max="7" width="18.570312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7" x14ac:dyDescent="0.25">
      <c r="A1" s="64" t="s">
        <v>164</v>
      </c>
      <c r="B1" s="64" t="s">
        <v>131</v>
      </c>
      <c r="C1" s="64" t="s">
        <v>134</v>
      </c>
      <c r="D1" s="64" t="s">
        <v>132</v>
      </c>
      <c r="E1" s="64" t="s">
        <v>135</v>
      </c>
      <c r="F1" s="64" t="s">
        <v>133</v>
      </c>
      <c r="G1" s="64" t="s">
        <v>136</v>
      </c>
    </row>
    <row r="2" spans="1:7" x14ac:dyDescent="0.25">
      <c r="A2" s="64" t="s">
        <v>30</v>
      </c>
      <c r="B2" s="62">
        <v>1</v>
      </c>
      <c r="C2" s="62">
        <v>0</v>
      </c>
      <c r="D2" s="62">
        <v>1</v>
      </c>
      <c r="E2" s="62">
        <v>0</v>
      </c>
      <c r="F2" s="62">
        <v>1</v>
      </c>
      <c r="G2" s="62">
        <v>0</v>
      </c>
    </row>
    <row r="3" spans="1:7" x14ac:dyDescent="0.25">
      <c r="A3" s="64" t="s">
        <v>34</v>
      </c>
      <c r="B3" s="62">
        <v>1</v>
      </c>
      <c r="C3" s="62">
        <v>0</v>
      </c>
      <c r="D3" s="62">
        <v>1</v>
      </c>
      <c r="E3" s="62">
        <v>0</v>
      </c>
      <c r="F3" s="62">
        <v>1</v>
      </c>
      <c r="G3" s="62">
        <v>0</v>
      </c>
    </row>
    <row r="4" spans="1:7" x14ac:dyDescent="0.25">
      <c r="A4" s="64" t="s">
        <v>24</v>
      </c>
      <c r="B4" s="62">
        <v>1</v>
      </c>
      <c r="C4" s="62">
        <v>0</v>
      </c>
      <c r="D4" s="62">
        <v>1</v>
      </c>
      <c r="E4" s="62">
        <v>0</v>
      </c>
      <c r="F4" s="62">
        <v>1</v>
      </c>
      <c r="G4" s="6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9"/>
  <sheetViews>
    <sheetView workbookViewId="0"/>
  </sheetViews>
  <sheetFormatPr defaultColWidth="8.85546875" defaultRowHeight="15" x14ac:dyDescent="0.25"/>
  <cols>
    <col min="1" max="1" width="17.7109375"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57" t="s">
        <v>174</v>
      </c>
      <c r="B1" s="57" t="s">
        <v>178</v>
      </c>
      <c r="C1" s="57" t="s">
        <v>179</v>
      </c>
      <c r="D1" s="57" t="s">
        <v>180</v>
      </c>
      <c r="E1" s="57" t="s">
        <v>181</v>
      </c>
      <c r="F1" s="57" t="s">
        <v>182</v>
      </c>
      <c r="G1" s="57" t="s">
        <v>183</v>
      </c>
    </row>
    <row r="2" spans="1:17" x14ac:dyDescent="0.25">
      <c r="A2" s="57" t="s">
        <v>175</v>
      </c>
      <c r="B2" s="47">
        <v>689.50594660000002</v>
      </c>
      <c r="C2" s="40">
        <v>0</v>
      </c>
      <c r="D2" s="47">
        <v>581.9355018</v>
      </c>
      <c r="E2" s="40">
        <v>0</v>
      </c>
      <c r="F2" s="47">
        <v>384.33633209999999</v>
      </c>
      <c r="G2" s="40">
        <v>0</v>
      </c>
    </row>
    <row r="3" spans="1:17" x14ac:dyDescent="0.25">
      <c r="A3" s="57" t="s">
        <v>176</v>
      </c>
      <c r="B3" s="47">
        <v>759.11908770000002</v>
      </c>
      <c r="C3" s="40">
        <v>0</v>
      </c>
      <c r="D3" s="47">
        <v>642.09754529999998</v>
      </c>
      <c r="E3" s="40">
        <v>0</v>
      </c>
      <c r="F3" s="47">
        <v>496.0484093</v>
      </c>
      <c r="G3" s="40">
        <v>0</v>
      </c>
    </row>
    <row r="4" spans="1:17" x14ac:dyDescent="0.25">
      <c r="A4" s="57" t="s">
        <v>177</v>
      </c>
      <c r="B4" s="47">
        <v>691.41777679999996</v>
      </c>
      <c r="C4" s="40">
        <v>0</v>
      </c>
      <c r="D4" s="47">
        <v>444.99252890000002</v>
      </c>
      <c r="E4" s="40">
        <v>0</v>
      </c>
      <c r="F4" s="47">
        <v>318.51089100000002</v>
      </c>
      <c r="G4" s="40">
        <v>0</v>
      </c>
    </row>
    <row r="5" spans="1:17" x14ac:dyDescent="0.25">
      <c r="A5" s="28"/>
      <c r="B5" s="8">
        <f>GetColorCountSynRecInt($B$2:$G$4,A5)</f>
        <v>9</v>
      </c>
      <c r="C5" s="8"/>
      <c r="D5" s="8"/>
      <c r="E5" s="8"/>
      <c r="F5" s="8"/>
      <c r="G5" s="8"/>
      <c r="H5" s="8"/>
      <c r="I5" s="8"/>
      <c r="J5" s="8"/>
      <c r="K5" s="8"/>
      <c r="L5" s="8"/>
      <c r="M5" s="8"/>
      <c r="N5" s="8"/>
      <c r="O5" s="8"/>
      <c r="P5" s="8"/>
      <c r="Q5" s="8"/>
    </row>
    <row r="6" spans="1:17" x14ac:dyDescent="0.25">
      <c r="A6" s="30"/>
      <c r="B6" s="8">
        <f>GetColorCountSynRecInt($B$2:$G$4,A6)</f>
        <v>0</v>
      </c>
      <c r="C6" s="8"/>
      <c r="D6" s="8"/>
      <c r="E6" s="8"/>
      <c r="F6" s="8"/>
      <c r="G6" s="8"/>
      <c r="H6" s="8"/>
      <c r="I6" s="8"/>
      <c r="J6" s="8"/>
      <c r="K6" s="8"/>
      <c r="L6" s="8"/>
      <c r="M6" s="8"/>
      <c r="N6" s="8"/>
      <c r="O6" s="8"/>
      <c r="P6" s="8"/>
      <c r="Q6" s="8"/>
    </row>
    <row r="7" spans="1:17" x14ac:dyDescent="0.25">
      <c r="A7" s="29"/>
      <c r="B7" s="8">
        <f>GetColorCountSynRecInt($B$2:$G$4,A7)</f>
        <v>0</v>
      </c>
      <c r="C7" s="8"/>
      <c r="D7" s="8"/>
      <c r="E7" s="8"/>
      <c r="F7" s="8"/>
      <c r="G7" s="8"/>
      <c r="H7" s="8"/>
      <c r="I7" s="8"/>
      <c r="J7" s="8"/>
      <c r="K7" s="8"/>
      <c r="L7" s="8"/>
      <c r="M7" s="8"/>
      <c r="N7" s="8"/>
      <c r="O7" s="8"/>
      <c r="P7" s="8"/>
      <c r="Q7" s="8"/>
    </row>
    <row r="8" spans="1:17" x14ac:dyDescent="0.25">
      <c r="A8" s="39"/>
      <c r="B8" s="8">
        <f>GetColorCountSynRecInt($B$2:$G$4,A8)</f>
        <v>9</v>
      </c>
      <c r="C8" s="8"/>
      <c r="D8" s="8"/>
      <c r="E8" s="8"/>
      <c r="F8" s="8"/>
      <c r="G8" s="8"/>
      <c r="H8" s="8"/>
      <c r="I8" s="8"/>
      <c r="J8" s="8"/>
      <c r="K8" s="8"/>
      <c r="L8" s="8"/>
      <c r="M8" s="8"/>
      <c r="N8" s="8"/>
      <c r="O8" s="8"/>
      <c r="P8" s="8"/>
      <c r="Q8" s="8"/>
    </row>
    <row r="9" spans="1:17" x14ac:dyDescent="0.25">
      <c r="A9" s="56"/>
      <c r="B9" s="8">
        <f>GetColorCountSynRecInt($B$2:$G$4,A9)</f>
        <v>0</v>
      </c>
      <c r="C9" s="8"/>
      <c r="D9" s="8"/>
      <c r="E9" s="8"/>
      <c r="F9" s="8"/>
      <c r="G9" s="8"/>
      <c r="H9" s="8"/>
      <c r="I9" s="8"/>
      <c r="J9" s="8"/>
      <c r="K9" s="8"/>
      <c r="L9" s="8"/>
      <c r="M9" s="8"/>
      <c r="N9" s="8"/>
      <c r="O9" s="8"/>
      <c r="P9" s="8"/>
      <c r="Q9" s="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9"/>
  <sheetViews>
    <sheetView workbookViewId="0"/>
  </sheetViews>
  <sheetFormatPr defaultColWidth="8.85546875" defaultRowHeight="15" x14ac:dyDescent="0.25"/>
  <cols>
    <col min="1" max="1" width="17.7109375"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54" t="s">
        <v>184</v>
      </c>
      <c r="B1" s="54" t="s">
        <v>188</v>
      </c>
      <c r="C1" s="54" t="s">
        <v>189</v>
      </c>
      <c r="D1" s="54" t="s">
        <v>190</v>
      </c>
      <c r="E1" s="54" t="s">
        <v>191</v>
      </c>
      <c r="F1" s="54" t="s">
        <v>192</v>
      </c>
      <c r="G1" s="54" t="s">
        <v>193</v>
      </c>
    </row>
    <row r="2" spans="1:17" x14ac:dyDescent="0.25">
      <c r="A2" s="54" t="s">
        <v>185</v>
      </c>
      <c r="B2" s="47">
        <v>3.0070165449999999</v>
      </c>
      <c r="C2" s="40">
        <v>0</v>
      </c>
      <c r="D2" s="47">
        <v>5.2306102780000003</v>
      </c>
      <c r="E2" s="40">
        <v>0</v>
      </c>
      <c r="F2" s="47">
        <v>7.6386223400000004</v>
      </c>
      <c r="G2" s="40">
        <v>0</v>
      </c>
    </row>
    <row r="3" spans="1:17" x14ac:dyDescent="0.25">
      <c r="A3" s="54" t="s">
        <v>186</v>
      </c>
      <c r="B3" s="47">
        <v>3.8961956039999999</v>
      </c>
      <c r="C3" s="40">
        <v>0</v>
      </c>
      <c r="D3" s="47">
        <v>5.533747322</v>
      </c>
      <c r="E3" s="40">
        <v>0</v>
      </c>
      <c r="F3" s="47">
        <v>7.1490502779999998</v>
      </c>
      <c r="G3" s="40">
        <v>0</v>
      </c>
    </row>
    <row r="4" spans="1:17" x14ac:dyDescent="0.25">
      <c r="A4" s="54" t="s">
        <v>187</v>
      </c>
      <c r="B4" s="47">
        <v>3.9713038900000002</v>
      </c>
      <c r="C4" s="40">
        <v>0</v>
      </c>
      <c r="D4" s="47">
        <v>5.9483035529999997</v>
      </c>
      <c r="E4" s="40">
        <v>0</v>
      </c>
      <c r="F4" s="47">
        <v>10.218939840000001</v>
      </c>
      <c r="G4" s="40">
        <v>0</v>
      </c>
    </row>
    <row r="5" spans="1:17" x14ac:dyDescent="0.25">
      <c r="A5" s="55"/>
      <c r="B5" s="50">
        <f>GetColorCountSynDecayInt($B$2:$G$4,A5)</f>
        <v>9</v>
      </c>
      <c r="C5" s="50"/>
      <c r="D5" s="50"/>
      <c r="E5" s="50"/>
      <c r="F5" s="50"/>
      <c r="G5" s="50"/>
      <c r="H5" s="50"/>
      <c r="I5" s="50"/>
      <c r="J5" s="50"/>
      <c r="K5" s="50"/>
      <c r="L5" s="50"/>
      <c r="M5" s="50"/>
      <c r="N5" s="50"/>
      <c r="O5" s="50"/>
      <c r="P5" s="50"/>
      <c r="Q5" s="50"/>
    </row>
    <row r="6" spans="1:17" x14ac:dyDescent="0.25">
      <c r="A6" s="30"/>
      <c r="B6" s="8">
        <f>GetColorCountSynDecayInt($B$2:$G$4,A6)</f>
        <v>0</v>
      </c>
      <c r="C6" s="8"/>
      <c r="D6" s="8"/>
      <c r="E6" s="8"/>
      <c r="F6" s="8"/>
      <c r="G6" s="8"/>
      <c r="H6" s="8"/>
      <c r="I6" s="8"/>
      <c r="J6" s="8"/>
      <c r="K6" s="8"/>
      <c r="L6" s="8"/>
      <c r="M6" s="8"/>
      <c r="N6" s="8"/>
      <c r="O6" s="8"/>
      <c r="P6" s="8"/>
      <c r="Q6" s="8"/>
    </row>
    <row r="7" spans="1:17" x14ac:dyDescent="0.25">
      <c r="A7" s="29"/>
      <c r="B7" s="8">
        <f>GetColorCountSynDecayInt($B$2:$G$4,A7)</f>
        <v>0</v>
      </c>
      <c r="C7" s="8"/>
      <c r="D7" s="8"/>
      <c r="E7" s="8"/>
      <c r="F7" s="8"/>
      <c r="G7" s="8"/>
      <c r="H7" s="8"/>
      <c r="I7" s="8"/>
      <c r="J7" s="8"/>
      <c r="K7" s="8"/>
      <c r="L7" s="8"/>
      <c r="M7" s="8"/>
      <c r="N7" s="8"/>
      <c r="O7" s="8"/>
      <c r="P7" s="8"/>
      <c r="Q7" s="8"/>
    </row>
    <row r="8" spans="1:17" x14ac:dyDescent="0.25">
      <c r="A8" s="39"/>
      <c r="B8" s="8">
        <f>GetColorCountSynDecayInt($B$2:$G$4,A8)</f>
        <v>9</v>
      </c>
      <c r="C8" s="8"/>
      <c r="D8" s="8"/>
      <c r="E8" s="8"/>
      <c r="F8" s="8"/>
      <c r="G8" s="8"/>
      <c r="H8" s="8"/>
      <c r="I8" s="8"/>
      <c r="J8" s="8"/>
      <c r="K8" s="8"/>
      <c r="L8" s="8"/>
      <c r="M8" s="8"/>
      <c r="N8" s="8"/>
      <c r="O8" s="8"/>
      <c r="P8" s="8"/>
      <c r="Q8" s="8"/>
    </row>
    <row r="9" spans="1:17" x14ac:dyDescent="0.25">
      <c r="A9" s="56"/>
      <c r="B9" s="8">
        <f>GetColorCountSynDecayInt($B$2:$G$4,A9)</f>
        <v>0</v>
      </c>
      <c r="C9" s="8"/>
      <c r="D9" s="8"/>
      <c r="E9" s="8"/>
      <c r="F9" s="8"/>
      <c r="G9" s="8"/>
      <c r="H9" s="8"/>
      <c r="I9" s="8"/>
      <c r="J9" s="8"/>
      <c r="K9" s="8"/>
      <c r="L9" s="8"/>
      <c r="M9" s="8"/>
      <c r="N9" s="8"/>
      <c r="O9" s="8"/>
      <c r="P9" s="8"/>
      <c r="Q9" s="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9"/>
  <sheetViews>
    <sheetView workbookViewId="0"/>
  </sheetViews>
  <sheetFormatPr defaultColWidth="8.85546875" defaultRowHeight="15" x14ac:dyDescent="0.25"/>
  <cols>
    <col min="1" max="1" width="17.7109375" customWidth="1"/>
    <col min="2" max="2" width="22" customWidth="1"/>
    <col min="3" max="3" width="19.7109375" customWidth="1"/>
    <col min="4" max="4" width="22.85546875" bestFit="1" customWidth="1"/>
    <col min="5" max="5" width="20.42578125" bestFit="1" customWidth="1"/>
    <col min="6" max="6" width="20.85546875" bestFit="1" customWidth="1"/>
    <col min="7" max="7" width="18.5703125" bestFit="1"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53" t="s">
        <v>194</v>
      </c>
      <c r="B1" s="53" t="s">
        <v>198</v>
      </c>
      <c r="C1" s="53" t="s">
        <v>199</v>
      </c>
      <c r="D1" s="53" t="s">
        <v>200</v>
      </c>
      <c r="E1" s="53" t="s">
        <v>201</v>
      </c>
      <c r="F1" s="53" t="s">
        <v>202</v>
      </c>
      <c r="G1" s="53" t="s">
        <v>203</v>
      </c>
    </row>
    <row r="2" spans="1:17" x14ac:dyDescent="0.25">
      <c r="A2" s="53" t="s">
        <v>195</v>
      </c>
      <c r="B2" s="47">
        <v>11.190425640000001</v>
      </c>
      <c r="C2" s="40">
        <v>0</v>
      </c>
      <c r="D2" s="47">
        <v>19.603690749999998</v>
      </c>
      <c r="E2" s="40">
        <v>0</v>
      </c>
      <c r="F2" s="47">
        <v>16.73589406</v>
      </c>
      <c r="G2" s="40">
        <v>0</v>
      </c>
    </row>
    <row r="3" spans="1:17" x14ac:dyDescent="0.25">
      <c r="A3" s="53" t="s">
        <v>196</v>
      </c>
      <c r="B3" s="47">
        <v>15.704480090000001</v>
      </c>
      <c r="C3" s="40">
        <v>0</v>
      </c>
      <c r="D3" s="47">
        <v>22.52027885</v>
      </c>
      <c r="E3" s="40">
        <v>0</v>
      </c>
      <c r="F3" s="47">
        <v>20.61711347</v>
      </c>
      <c r="G3" s="40">
        <v>0</v>
      </c>
    </row>
    <row r="4" spans="1:17" x14ac:dyDescent="0.25">
      <c r="A4" s="53" t="s">
        <v>197</v>
      </c>
      <c r="B4" s="47">
        <v>21.16086172</v>
      </c>
      <c r="C4" s="40">
        <v>0</v>
      </c>
      <c r="D4" s="47">
        <v>29.013354889999999</v>
      </c>
      <c r="E4" s="40">
        <v>0</v>
      </c>
      <c r="F4" s="47">
        <v>21.44820657</v>
      </c>
      <c r="G4" s="40">
        <v>0</v>
      </c>
    </row>
    <row r="5" spans="1:17" x14ac:dyDescent="0.25">
      <c r="A5" s="52"/>
      <c r="B5" s="50">
        <f>GetColorCountSynFacilInt($B$2:$G$4,A5)</f>
        <v>9</v>
      </c>
      <c r="C5" s="50"/>
      <c r="D5" s="50"/>
      <c r="E5" s="50"/>
      <c r="F5" s="50"/>
      <c r="G5" s="50"/>
      <c r="H5" s="50"/>
      <c r="I5" s="50"/>
      <c r="J5" s="50"/>
      <c r="K5" s="50"/>
      <c r="L5" s="50"/>
      <c r="M5" s="50"/>
      <c r="N5" s="50"/>
      <c r="O5" s="50"/>
      <c r="P5" s="50"/>
      <c r="Q5" s="50"/>
    </row>
    <row r="6" spans="1:17" x14ac:dyDescent="0.25">
      <c r="A6" s="30"/>
      <c r="B6" s="8">
        <f>GetColorCountSynFacilInt($B$2:$G$4,A6)</f>
        <v>0</v>
      </c>
    </row>
    <row r="7" spans="1:17" x14ac:dyDescent="0.25">
      <c r="A7" s="29"/>
      <c r="B7" s="8">
        <f>GetColorCountSynFacilInt($B$2:$G$4,A7)</f>
        <v>0</v>
      </c>
    </row>
    <row r="8" spans="1:17" x14ac:dyDescent="0.25">
      <c r="A8" s="39"/>
      <c r="B8" s="8">
        <f>GetColorCountSynFacilInt($B$2:$G$4,A8)</f>
        <v>9</v>
      </c>
    </row>
    <row r="9" spans="1:17" x14ac:dyDescent="0.25">
      <c r="A9" s="38"/>
      <c r="B9" s="8">
        <f>GetColorCountSynFacilInt($B$2:$G$4,A9)</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README</vt:lpstr>
      <vt:lpstr>Parameter PDF Summary CA3_net</vt:lpstr>
      <vt:lpstr>CARLsim4_default_parameters</vt:lpstr>
      <vt:lpstr>CA3_netlist</vt:lpstr>
      <vt:lpstr>syn_types</vt:lpstr>
      <vt:lpstr>pop_size_neuron_type</vt:lpstr>
      <vt:lpstr>IM_parameters_by_neuron_type</vt:lpstr>
      <vt:lpstr>syn_conn_prob</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2021-02-26T16:45:56Z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