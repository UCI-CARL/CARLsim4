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1.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showObjects="none" codeName="ThisWorkbook" defaultThemeVersion="166925"/>
  <mc:AlternateContent xmlns:mc="http://schemas.openxmlformats.org/markup-compatibility/2006">
    <mc:Choice Requires="x15">
      <x15ac:absPath xmlns:x15ac="http://schemas.microsoft.com/office/spreadsheetml/2010/11/ac" url="C:\Users\Jeffrey\Dropbox\Grad Research\ca3_snn_GPU_10_14_20_HC_IM_all_1pt0\"/>
    </mc:Choice>
  </mc:AlternateContent>
  <xr:revisionPtr revIDLastSave="0" documentId="13_ncr:1_{11AD013B-2518-4AD8-8DEE-542E6AA92442}" xr6:coauthVersionLast="45" xr6:coauthVersionMax="45" xr10:uidLastSave="{00000000-0000-0000-0000-000000000000}"/>
  <bookViews>
    <workbookView xWindow="360" yWindow="375" windowWidth="26985" windowHeight="19815" firstSheet="4" activeTab="5" xr2:uid="{00000000-000D-0000-FFFF-FFFF00000000}"/>
  </bookViews>
  <sheets>
    <sheet name="README" sheetId="44" r:id="rId1"/>
    <sheet name="Parameter PDF Summary CA3_net" sheetId="20" r:id="rId2"/>
    <sheet name="CARLsim4_default_parameters" sheetId="40" r:id="rId3"/>
    <sheet name="CA3_netlist" sheetId="6" r:id="rId4"/>
    <sheet name="conn_types" sheetId="12" r:id="rId5"/>
    <sheet name="pop_size_neuron_type_internal" sheetId="8" r:id="rId6"/>
    <sheet name="pop_size_est_calc_internal" sheetId="21" r:id="rId7"/>
    <sheet name="pop_size_neuron_type_external" sheetId="24" r:id="rId8"/>
    <sheet name="pop_size_est_calc_external" sheetId="25" r:id="rId9"/>
    <sheet name="IM_parameters_by_neuron_type" sheetId="9" r:id="rId10"/>
    <sheet name="IM_parameters_calc" sheetId="23" r:id="rId11"/>
    <sheet name="Poisson_rates_external" sheetId="41" r:id="rId12"/>
    <sheet name="Poisson_rates_external_ref" sheetId="43" r:id="rId13"/>
    <sheet name="internal_to_internal_conn_prob" sheetId="5" r:id="rId14"/>
    <sheet name="internal_to_internal_prob_calc" sheetId="26" r:id="rId15"/>
    <sheet name="external_to_internal_conn_prob" sheetId="27" r:id="rId16"/>
    <sheet name="ext_to_int_prob_est_calc" sheetId="28" r:id="rId17"/>
    <sheet name="syn_conds_int_to_int" sheetId="15" r:id="rId18"/>
    <sheet name="syn_conds_multiplier_int_to_int" sheetId="49" r:id="rId19"/>
    <sheet name="syn_conds_ext_to_int" sheetId="30" r:id="rId20"/>
    <sheet name="syn_resource_release_int_to_int" sheetId="16" r:id="rId21"/>
    <sheet name="syn_resource_release_ext_to_int" sheetId="32" r:id="rId22"/>
    <sheet name="syn_rec_const_int_to_int" sheetId="17" r:id="rId23"/>
    <sheet name="syn_rec_const_ext_to_int" sheetId="34" r:id="rId24"/>
    <sheet name="syn_decay_const_int_to_int" sheetId="18" r:id="rId25"/>
    <sheet name="syn_decay_const_ext_to_int" sheetId="36" r:id="rId26"/>
    <sheet name="syn_facil_const_int_to_int" sheetId="19" r:id="rId27"/>
    <sheet name="syn_facil_const_ext_to_int" sheetId="38" r:id="rId28"/>
    <sheet name="scaled_network_properties" sheetId="46" r:id="rId29"/>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7" i="5" l="1"/>
  <c r="B14" i="5"/>
  <c r="B3" i="8" l="1"/>
  <c r="B2" i="8" l="1"/>
  <c r="B9" i="8"/>
  <c r="B7" i="8"/>
  <c r="B24" i="5" l="1"/>
  <c r="B33" i="46"/>
  <c r="B14" i="46"/>
  <c r="B26" i="28"/>
  <c r="B34" i="28" s="1"/>
  <c r="J3" i="27" s="1"/>
  <c r="J17" i="27" s="1"/>
  <c r="C25" i="28"/>
  <c r="B25" i="28"/>
  <c r="F7" i="28"/>
  <c r="C26" i="28" s="1"/>
  <c r="F6" i="28"/>
  <c r="M18" i="27"/>
  <c r="L18" i="27"/>
  <c r="G32" i="5"/>
  <c r="E28" i="5"/>
  <c r="J27" i="5"/>
  <c r="F24" i="5"/>
  <c r="V205" i="23"/>
  <c r="U205" i="23"/>
  <c r="T205" i="23"/>
  <c r="S205" i="23"/>
  <c r="R205" i="23"/>
  <c r="Q205" i="23"/>
  <c r="P205" i="23"/>
  <c r="O205" i="23"/>
  <c r="N205" i="23"/>
  <c r="V204" i="23"/>
  <c r="U204" i="23"/>
  <c r="T204" i="23"/>
  <c r="S204" i="23"/>
  <c r="R204" i="23"/>
  <c r="Q204" i="23"/>
  <c r="P204" i="23"/>
  <c r="O204" i="23"/>
  <c r="N204" i="23"/>
  <c r="V178" i="23"/>
  <c r="U178" i="23"/>
  <c r="T178" i="23"/>
  <c r="S178" i="23"/>
  <c r="R178" i="23"/>
  <c r="Q178" i="23"/>
  <c r="P178" i="23"/>
  <c r="O178" i="23"/>
  <c r="N178" i="23"/>
  <c r="V177" i="23"/>
  <c r="U177" i="23"/>
  <c r="T177" i="23"/>
  <c r="S177" i="23"/>
  <c r="R177" i="23"/>
  <c r="Q177" i="23"/>
  <c r="P177" i="23"/>
  <c r="O177" i="23"/>
  <c r="N177" i="23"/>
  <c r="V151" i="23"/>
  <c r="U151" i="23"/>
  <c r="T151" i="23"/>
  <c r="S151" i="23"/>
  <c r="R151" i="23"/>
  <c r="Q151" i="23"/>
  <c r="P151" i="23"/>
  <c r="O151" i="23"/>
  <c r="N151" i="23"/>
  <c r="V150" i="23"/>
  <c r="U150" i="23"/>
  <c r="T150" i="23"/>
  <c r="S150" i="23"/>
  <c r="R150" i="23"/>
  <c r="Q150" i="23"/>
  <c r="P150" i="23"/>
  <c r="O150" i="23"/>
  <c r="N150" i="23"/>
  <c r="V124" i="23"/>
  <c r="U124" i="23"/>
  <c r="T124" i="23"/>
  <c r="S124" i="23"/>
  <c r="R124" i="23"/>
  <c r="Q124" i="23"/>
  <c r="P124" i="23"/>
  <c r="O124" i="23"/>
  <c r="N124" i="23"/>
  <c r="V123" i="23"/>
  <c r="U123" i="23"/>
  <c r="T123" i="23"/>
  <c r="S123" i="23"/>
  <c r="R123" i="23"/>
  <c r="Q123" i="23"/>
  <c r="P123" i="23"/>
  <c r="O123" i="23"/>
  <c r="N123" i="23"/>
  <c r="V97" i="23"/>
  <c r="U97" i="23"/>
  <c r="T97" i="23"/>
  <c r="S97" i="23"/>
  <c r="R97" i="23"/>
  <c r="Q97" i="23"/>
  <c r="P97" i="23"/>
  <c r="O97" i="23"/>
  <c r="N97" i="23"/>
  <c r="V96" i="23"/>
  <c r="U96" i="23"/>
  <c r="T96" i="23"/>
  <c r="S96" i="23"/>
  <c r="R96" i="23"/>
  <c r="Q96" i="23"/>
  <c r="P96" i="23"/>
  <c r="O96" i="23"/>
  <c r="N96" i="23"/>
  <c r="V70" i="23"/>
  <c r="U70" i="23"/>
  <c r="T70" i="23"/>
  <c r="S70" i="23"/>
  <c r="R70" i="23"/>
  <c r="Q70" i="23"/>
  <c r="P70" i="23"/>
  <c r="O70" i="23"/>
  <c r="N70" i="23"/>
  <c r="V69" i="23"/>
  <c r="U69" i="23"/>
  <c r="T69" i="23"/>
  <c r="S69" i="23"/>
  <c r="R69" i="23"/>
  <c r="Q69" i="23"/>
  <c r="P69" i="23"/>
  <c r="O69" i="23"/>
  <c r="N69" i="23"/>
  <c r="V44" i="23"/>
  <c r="U44" i="23"/>
  <c r="T44" i="23"/>
  <c r="S44" i="23"/>
  <c r="R44" i="23"/>
  <c r="Q44" i="23"/>
  <c r="P44" i="23"/>
  <c r="O44" i="23"/>
  <c r="N44" i="23"/>
  <c r="V43" i="23"/>
  <c r="U43" i="23"/>
  <c r="T43" i="23"/>
  <c r="S43" i="23"/>
  <c r="R43" i="23"/>
  <c r="Q43" i="23"/>
  <c r="P43" i="23"/>
  <c r="O43" i="23"/>
  <c r="N43" i="23"/>
  <c r="B24" i="25"/>
  <c r="B23" i="25"/>
  <c r="F16" i="25"/>
  <c r="B3" i="24"/>
  <c r="B2" i="24"/>
  <c r="E16" i="27" s="1"/>
  <c r="B90" i="21"/>
  <c r="B84" i="21"/>
  <c r="D65" i="21"/>
  <c r="C57" i="21"/>
  <c r="D66" i="21" s="1"/>
  <c r="B71" i="21" s="1"/>
  <c r="B57" i="21"/>
  <c r="C56" i="21"/>
  <c r="B56" i="21"/>
  <c r="C55" i="21"/>
  <c r="D64" i="21" s="1"/>
  <c r="B77" i="21" s="1"/>
  <c r="B55" i="21"/>
  <c r="C54" i="21"/>
  <c r="D63" i="21" s="1"/>
  <c r="B54" i="21"/>
  <c r="C53" i="21"/>
  <c r="B53" i="21"/>
  <c r="B58" i="21" s="1"/>
  <c r="B10" i="8"/>
  <c r="B8" i="8"/>
  <c r="B6" i="8"/>
  <c r="B5" i="8"/>
  <c r="C30" i="5" s="1"/>
  <c r="B4" i="8"/>
  <c r="J4" i="40"/>
  <c r="J3" i="40"/>
  <c r="J2" i="40"/>
  <c r="J1" i="40"/>
  <c r="C101" i="20"/>
  <c r="C99" i="20"/>
  <c r="B15" i="8"/>
  <c r="B5" i="41"/>
  <c r="B16" i="9"/>
  <c r="B10" i="24"/>
  <c r="B5" i="36"/>
  <c r="B13" i="18"/>
  <c r="B14" i="9"/>
  <c r="B12" i="24"/>
  <c r="B16" i="5"/>
  <c r="B7" i="38"/>
  <c r="B15" i="5"/>
  <c r="B8" i="27"/>
  <c r="B7" i="27"/>
  <c r="B6" i="36"/>
  <c r="B6" i="38"/>
  <c r="B5" i="34"/>
  <c r="B9" i="32"/>
  <c r="B11" i="17"/>
  <c r="B6" i="32"/>
  <c r="B18" i="5"/>
  <c r="B15" i="16"/>
  <c r="B6" i="30"/>
  <c r="B9" i="36"/>
  <c r="B9" i="34"/>
  <c r="B8" i="36"/>
  <c r="B16" i="8"/>
  <c r="B14" i="19"/>
  <c r="B17" i="9"/>
  <c r="B8" i="34"/>
  <c r="B11" i="18"/>
  <c r="B8" i="32"/>
  <c r="B16" i="15"/>
  <c r="B5" i="30"/>
  <c r="B12" i="19"/>
  <c r="B9" i="30"/>
  <c r="B7" i="32"/>
  <c r="B15" i="17"/>
  <c r="B5" i="32"/>
  <c r="B8" i="41"/>
  <c r="B7" i="41"/>
  <c r="B11" i="16"/>
  <c r="B13" i="19"/>
  <c r="B18" i="9"/>
  <c r="B7" i="30"/>
  <c r="B11" i="24"/>
  <c r="B5" i="38"/>
  <c r="B13" i="17"/>
  <c r="B12" i="17"/>
  <c r="B6" i="27"/>
  <c r="B8" i="24"/>
  <c r="B9" i="38"/>
  <c r="B13" i="16"/>
  <c r="B17" i="8"/>
  <c r="B9" i="27"/>
  <c r="B8" i="30"/>
  <c r="B6" i="34"/>
  <c r="B8" i="38"/>
  <c r="B17" i="15"/>
  <c r="B14" i="16"/>
  <c r="B14" i="15"/>
  <c r="B14" i="17"/>
  <c r="B15" i="9"/>
  <c r="B12" i="16"/>
  <c r="B12" i="18"/>
  <c r="B19" i="8"/>
  <c r="B9" i="41"/>
  <c r="B11" i="19"/>
  <c r="B7" i="34"/>
  <c r="B6" i="41"/>
  <c r="B7" i="36"/>
  <c r="B5" i="27"/>
  <c r="B9" i="24"/>
  <c r="B15" i="15"/>
  <c r="B13" i="15"/>
  <c r="B18" i="8"/>
  <c r="B14" i="18"/>
  <c r="C24" i="5" l="1"/>
  <c r="B25" i="5"/>
  <c r="B31" i="5"/>
  <c r="F27" i="5"/>
  <c r="B27" i="5"/>
  <c r="B28" i="5"/>
  <c r="B30" i="5"/>
  <c r="C16" i="27"/>
  <c r="B32" i="5"/>
  <c r="J25" i="5"/>
  <c r="B29" i="5"/>
  <c r="B47" i="28"/>
  <c r="H16" i="27"/>
  <c r="B41" i="28"/>
  <c r="E88" i="20"/>
  <c r="E89" i="20"/>
  <c r="F90" i="20"/>
  <c r="E91" i="20"/>
  <c r="E92" i="20"/>
  <c r="E93" i="20"/>
  <c r="D94" i="20"/>
  <c r="F16" i="20"/>
  <c r="B44" i="20" s="1"/>
  <c r="G95" i="20"/>
  <c r="F96" i="20"/>
  <c r="E97" i="20"/>
  <c r="D98" i="20"/>
  <c r="F20" i="20"/>
  <c r="B48" i="20" s="1"/>
  <c r="G100" i="20"/>
  <c r="G101" i="20"/>
  <c r="F102" i="20"/>
  <c r="F87" i="20"/>
  <c r="C5" i="20"/>
  <c r="F88" i="20"/>
  <c r="F89" i="20"/>
  <c r="C90" i="20"/>
  <c r="B66" i="20"/>
  <c r="B90" i="20" s="1"/>
  <c r="B15" i="20"/>
  <c r="B39" i="20" s="1"/>
  <c r="G90" i="20"/>
  <c r="F91" i="20"/>
  <c r="F92" i="20"/>
  <c r="F93" i="20"/>
  <c r="E94" i="20"/>
  <c r="D95" i="20"/>
  <c r="F68" i="20"/>
  <c r="B96" i="20" s="1"/>
  <c r="F17" i="20"/>
  <c r="B45" i="20" s="1"/>
  <c r="C96" i="20"/>
  <c r="G96" i="20"/>
  <c r="C6" i="20"/>
  <c r="G87" i="20"/>
  <c r="C88" i="20"/>
  <c r="B64" i="20"/>
  <c r="B88" i="20" s="1"/>
  <c r="B13" i="20"/>
  <c r="B37" i="20" s="1"/>
  <c r="G89" i="20"/>
  <c r="D90" i="20"/>
  <c r="F12" i="20"/>
  <c r="B40" i="20" s="1"/>
  <c r="C91" i="20"/>
  <c r="F63" i="20"/>
  <c r="G91" i="20"/>
  <c r="G92" i="20"/>
  <c r="F14" i="20"/>
  <c r="B42" i="20" s="1"/>
  <c r="C93" i="20"/>
  <c r="F65" i="20"/>
  <c r="B93" i="20" s="1"/>
  <c r="G93" i="20"/>
  <c r="F94" i="20"/>
  <c r="E95" i="20"/>
  <c r="D96" i="20"/>
  <c r="C97" i="20"/>
  <c r="F69" i="20"/>
  <c r="B97" i="20" s="1"/>
  <c r="F18" i="20"/>
  <c r="B46" i="20" s="1"/>
  <c r="G97" i="20"/>
  <c r="F98" i="20"/>
  <c r="F99" i="20"/>
  <c r="E100" i="20"/>
  <c r="E101" i="20"/>
  <c r="D102" i="20"/>
  <c r="F97" i="20"/>
  <c r="E98" i="20"/>
  <c r="E99" i="20"/>
  <c r="D100" i="20"/>
  <c r="D101" i="20"/>
  <c r="F73" i="20"/>
  <c r="B101" i="20" s="1"/>
  <c r="F23" i="20"/>
  <c r="B51" i="20" s="1"/>
  <c r="F74" i="20"/>
  <c r="B102" i="20" s="1"/>
  <c r="C102" i="20"/>
  <c r="G102" i="20"/>
  <c r="B63" i="20"/>
  <c r="B87" i="20" s="1"/>
  <c r="B12" i="20"/>
  <c r="C2" i="20"/>
  <c r="C87" i="20"/>
  <c r="G88" i="20"/>
  <c r="B65" i="20"/>
  <c r="B89" i="20" s="1"/>
  <c r="B14" i="20"/>
  <c r="B38" i="20" s="1"/>
  <c r="C89" i="20"/>
  <c r="F64" i="20"/>
  <c r="B92" i="20" s="1"/>
  <c r="C92" i="20"/>
  <c r="F13" i="20"/>
  <c r="B41" i="20" s="1"/>
  <c r="C3" i="20"/>
  <c r="D87" i="20"/>
  <c r="D88" i="20"/>
  <c r="D89" i="20"/>
  <c r="E90" i="20"/>
  <c r="D91" i="20"/>
  <c r="D92" i="20"/>
  <c r="D93" i="20"/>
  <c r="F66" i="20"/>
  <c r="B94" i="20" s="1"/>
  <c r="F15" i="20"/>
  <c r="B43" i="20" s="1"/>
  <c r="C94" i="20"/>
  <c r="G94" i="20"/>
  <c r="F95" i="20"/>
  <c r="E96" i="20"/>
  <c r="D97" i="20"/>
  <c r="C98" i="20"/>
  <c r="F70" i="20"/>
  <c r="B98" i="20" s="1"/>
  <c r="F19" i="20"/>
  <c r="B47" i="20" s="1"/>
  <c r="G98" i="20"/>
  <c r="G99" i="20"/>
  <c r="F100" i="20"/>
  <c r="F101" i="20"/>
  <c r="E102" i="20"/>
  <c r="B73" i="21"/>
  <c r="B75" i="21"/>
  <c r="F67" i="20"/>
  <c r="B95" i="20" s="1"/>
  <c r="C95" i="20"/>
  <c r="F71" i="20"/>
  <c r="B99" i="20" s="1"/>
  <c r="D99" i="20"/>
  <c r="F72" i="20"/>
  <c r="B100" i="20" s="1"/>
  <c r="C100" i="20"/>
  <c r="B46" i="28"/>
  <c r="B42" i="28"/>
  <c r="I24" i="5"/>
  <c r="E24" i="5"/>
  <c r="B11" i="8"/>
  <c r="B45" i="28"/>
  <c r="B40" i="28"/>
  <c r="J24" i="5"/>
  <c r="D24" i="5"/>
  <c r="B43" i="28"/>
  <c r="G24" i="5"/>
  <c r="B44" i="28"/>
  <c r="H24" i="5"/>
  <c r="F28" i="5"/>
  <c r="J28" i="5"/>
  <c r="D28" i="5"/>
  <c r="D30" i="5"/>
  <c r="I28" i="5"/>
  <c r="C28" i="5"/>
  <c r="H28" i="5"/>
  <c r="H31" i="5"/>
  <c r="D31" i="5"/>
  <c r="J31" i="5"/>
  <c r="E31" i="5"/>
  <c r="I31" i="5"/>
  <c r="C31" i="5"/>
  <c r="G31" i="5"/>
  <c r="C4" i="20"/>
  <c r="E87" i="20"/>
  <c r="C58" i="21"/>
  <c r="D62" i="21"/>
  <c r="G30" i="5"/>
  <c r="B74" i="21"/>
  <c r="F21" i="20"/>
  <c r="B49" i="20" s="1"/>
  <c r="D27" i="5"/>
  <c r="G29" i="5"/>
  <c r="F31" i="5"/>
  <c r="C25" i="5"/>
  <c r="E29" i="5"/>
  <c r="I32" i="5"/>
  <c r="F32" i="5"/>
  <c r="E27" i="5"/>
  <c r="H30" i="5"/>
  <c r="F22" i="20"/>
  <c r="B50" i="20" s="1"/>
  <c r="B67" i="20"/>
  <c r="I30" i="5"/>
  <c r="D25" i="5"/>
  <c r="D29" i="5"/>
  <c r="I29" i="5"/>
  <c r="D32" i="5"/>
  <c r="J16" i="27"/>
  <c r="F16" i="27"/>
  <c r="B16" i="27"/>
  <c r="J26" i="5"/>
  <c r="K26" i="5" s="1"/>
  <c r="C29" i="5"/>
  <c r="H29" i="5"/>
  <c r="C32" i="5"/>
  <c r="H32" i="5"/>
  <c r="D16" i="27"/>
  <c r="I16" i="27"/>
  <c r="B48" i="28"/>
  <c r="H27" i="5"/>
  <c r="C27" i="5"/>
  <c r="G25" i="5"/>
  <c r="I27" i="5"/>
  <c r="F29" i="5"/>
  <c r="J29" i="5"/>
  <c r="E30" i="5"/>
  <c r="J30" i="5"/>
  <c r="E32" i="5"/>
  <c r="J32" i="5"/>
  <c r="G16" i="27"/>
  <c r="B33" i="28"/>
  <c r="G3" i="27" s="1"/>
  <c r="G17" i="27" s="1"/>
  <c r="B30" i="28"/>
  <c r="B3" i="27" s="1"/>
  <c r="B17" i="27" s="1"/>
  <c r="F30" i="5"/>
  <c r="K29" i="5" l="1"/>
  <c r="K25" i="5"/>
  <c r="E103" i="20"/>
  <c r="D103" i="20"/>
  <c r="C103" i="20"/>
  <c r="B91" i="20"/>
  <c r="B103" i="20" s="1"/>
  <c r="F75" i="20"/>
  <c r="G103" i="20"/>
  <c r="C7" i="20"/>
  <c r="B16" i="20"/>
  <c r="B36" i="20"/>
  <c r="B52" i="20" s="1"/>
  <c r="F24" i="20"/>
  <c r="F103" i="20"/>
  <c r="K30" i="5"/>
  <c r="K27" i="5"/>
  <c r="K32" i="5"/>
  <c r="B76" i="21"/>
  <c r="B72" i="21"/>
  <c r="B78" i="21"/>
  <c r="B79" i="21"/>
  <c r="K31" i="5"/>
  <c r="K16" i="27"/>
  <c r="B32" i="28"/>
  <c r="D3" i="27" s="1"/>
  <c r="D17" i="27" s="1"/>
  <c r="B31" i="28"/>
  <c r="C3" i="27" s="1"/>
  <c r="C17" i="27" s="1"/>
  <c r="K28" i="5"/>
  <c r="K24" i="5"/>
  <c r="K17" i="27" l="1"/>
  <c r="K18" i="27"/>
  <c r="M35" i="5" s="1"/>
  <c r="B89" i="21"/>
  <c r="M34" i="5"/>
  <c r="M36" i="5" l="1"/>
  <c r="C89" i="21"/>
  <c r="C90" i="21"/>
</calcChain>
</file>

<file path=xl/sharedStrings.xml><?xml version="1.0" encoding="utf-8"?>
<sst xmlns="http://schemas.openxmlformats.org/spreadsheetml/2006/main" count="1799" uniqueCount="703">
  <si>
    <t>Level of Estimate Legend</t>
  </si>
  <si>
    <t>Estimates made from a single or set of experimental measurements</t>
  </si>
  <si>
    <t>Estimates adapted or adopted from previous model frameworks</t>
  </si>
  <si>
    <t>Estimates based on an educational guess, with an upper and lower bound defined</t>
  </si>
  <si>
    <t>Estimates assigned to a default value in CARLsim4</t>
  </si>
  <si>
    <t>The tables below summarize the number of parameter PDFs for the reduced scale CA3 SNN assuming the PDF is described with one variable (e.g. mean)</t>
  </si>
  <si>
    <t>Neuron Super-Family Parameters</t>
  </si>
  <si>
    <t># of Parameter PDFs</t>
  </si>
  <si>
    <t>Synaptic Super-Family Parameters</t>
  </si>
  <si>
    <t>Population Size Parameters (Internal)</t>
  </si>
  <si>
    <t>Connection Probability Parameters (Internal-Internal)</t>
  </si>
  <si>
    <t>Population Size Parameters (External)</t>
  </si>
  <si>
    <t>Connection Probability Parameters (External-Internal)</t>
  </si>
  <si>
    <t>Single-Compartment IM Parameters</t>
  </si>
  <si>
    <t>Absolute Conductance Parameters (Internal-Internal)</t>
  </si>
  <si>
    <t>Total</t>
  </si>
  <si>
    <t>Absolute Conductance Parameters (External-Internal)</t>
  </si>
  <si>
    <t>U Parameters (Internal-Internal)</t>
  </si>
  <si>
    <t>U Parameters (External-Internal)</t>
  </si>
  <si>
    <t>Rise Time Constant Parameters (Internal-Internal)</t>
  </si>
  <si>
    <t>Rise Time Constant Parameters (External-Internal)</t>
  </si>
  <si>
    <t>Decay Time Constant Parameters (Internal-Internal)</t>
  </si>
  <si>
    <t>Decay Time Constant Parameters (External-Internal)</t>
  </si>
  <si>
    <t>Facilitation Time Constant Parameters (Internal-Internal)</t>
  </si>
  <si>
    <t>Facilitation Time Constant Parameters (External-Internal)</t>
  </si>
  <si>
    <t>CA3 SNN Parameters</t>
  </si>
  <si>
    <t>The tables below summarize the number of parameter PDFs for the reduced scaled CA3 SNN assuming the PDF is described with two variables (e.g. mean and standard deviation)</t>
  </si>
  <si>
    <t xml:space="preserve"> From,  To (internal: N=80)</t>
  </si>
  <si>
    <t xml:space="preserve"> From,  To (external: M=14)</t>
  </si>
  <si>
    <t>Cell Types</t>
  </si>
  <si>
    <t>Internal/External</t>
  </si>
  <si>
    <t>Excitatory/Inhibitory</t>
  </si>
  <si>
    <t xml:space="preserve"> CA3 Axo-Axonic,  CA3 Pyramidal</t>
  </si>
  <si>
    <t xml:space="preserve"> Granule,  CA3 Axo-Axonic</t>
  </si>
  <si>
    <t>CA3 Pyramidal</t>
  </si>
  <si>
    <t>Internal</t>
  </si>
  <si>
    <t>Excitatory</t>
  </si>
  <si>
    <t xml:space="preserve"> CA3 Basket,  CA3 Axo-Axonic</t>
  </si>
  <si>
    <t xml:space="preserve"> Granule,  CA3 Basket</t>
  </si>
  <si>
    <t>CA3 Axo-Axonic</t>
  </si>
  <si>
    <t>Inhibitory</t>
  </si>
  <si>
    <t xml:space="preserve"> CA3 Basket,  CA3 Basket</t>
  </si>
  <si>
    <t xml:space="preserve"> Granule,  CA3 BC CCK+</t>
  </si>
  <si>
    <t>CA3 Basket</t>
  </si>
  <si>
    <t xml:space="preserve"> CA3 Basket,  CA3 BC CCK+</t>
  </si>
  <si>
    <t xml:space="preserve"> Granule,  CA3 Bistratified</t>
  </si>
  <si>
    <t>CA3 BC CCK+</t>
  </si>
  <si>
    <t xml:space="preserve"> CA3 Basket,  CA3 Bistratified</t>
  </si>
  <si>
    <t xml:space="preserve"> Granule,  CA3 Ivy</t>
  </si>
  <si>
    <t>CA3 Bistratified</t>
  </si>
  <si>
    <t xml:space="preserve"> CA3 Basket,  CA3 Ivy</t>
  </si>
  <si>
    <t xml:space="preserve"> Granule,  CA3 LMR-Targeting</t>
  </si>
  <si>
    <t>CA3 Ivy</t>
  </si>
  <si>
    <t xml:space="preserve"> CA3 Basket,  CA3 Pyramidal</t>
  </si>
  <si>
    <t xml:space="preserve"> Granule,  CA3 Pyramidal</t>
  </si>
  <si>
    <t>CA3 LMR-Targeting</t>
  </si>
  <si>
    <t xml:space="preserve"> CA3 Basket,  CA3 QuaD-LM</t>
  </si>
  <si>
    <t xml:space="preserve"> Granule,  CA3 QuaD-LM</t>
  </si>
  <si>
    <t>CA3 QuaD-LM</t>
  </si>
  <si>
    <t xml:space="preserve"> CA3 Basket,  MFA ORDEN</t>
  </si>
  <si>
    <t xml:space="preserve"> Granule,  MFA ORDEN</t>
  </si>
  <si>
    <t>CA3 Trilaminar</t>
  </si>
  <si>
    <t xml:space="preserve"> CA3 BC CCK+,  CA3 Axo-Axonic</t>
  </si>
  <si>
    <t xml:space="preserve"> MEC LII Stellate,  CA3 Axo-Axonic</t>
  </si>
  <si>
    <t>CA3 MFA ORDEN</t>
  </si>
  <si>
    <t xml:space="preserve"> CA3 BC CCK+,  CA3 Basket</t>
  </si>
  <si>
    <t xml:space="preserve"> MEC LII Stellate,  CA3 Basket</t>
  </si>
  <si>
    <t>DG Granule</t>
  </si>
  <si>
    <t>External</t>
  </si>
  <si>
    <t xml:space="preserve"> CA3 BC CCK+,  CA3 BC CCK+</t>
  </si>
  <si>
    <t xml:space="preserve"> MEC LII Stellate,  CA3 BC CCK+</t>
  </si>
  <si>
    <t>MEC LII Stellate</t>
  </si>
  <si>
    <t xml:space="preserve"> CA3 BC CCK+,  CA3 Bistratified</t>
  </si>
  <si>
    <t xml:space="preserve"> MEC LII Stellate,  CA3 LMR-Targeting</t>
  </si>
  <si>
    <t xml:space="preserve"> CA3 BC CCK+,  CA3 Ivy</t>
  </si>
  <si>
    <t xml:space="preserve"> MEC LII Stellate,  CA3 Pyramidal</t>
  </si>
  <si>
    <t xml:space="preserve"> CA3 BC CCK+,  CA3 Pyramidal</t>
  </si>
  <si>
    <t xml:space="preserve"> CA3 BC CCK+,  CA3 QuaD-LM</t>
  </si>
  <si>
    <t xml:space="preserve"> CA3 BC CCK+,  MFA ORDEN</t>
  </si>
  <si>
    <t xml:space="preserve"> CA3 Bistratified,  CA3 Axo-Axonic</t>
  </si>
  <si>
    <t xml:space="preserve"> CA3 Bistratified,  CA3 Basket</t>
  </si>
  <si>
    <t xml:space="preserve"> CA3 Bistratified,  CA3 BC CCK+</t>
  </si>
  <si>
    <t xml:space="preserve"> CA3 Bistratified,  CA3 Bistratified</t>
  </si>
  <si>
    <t xml:space="preserve"> CA3 Bistratified,  CA3 Ivy</t>
  </si>
  <si>
    <t xml:space="preserve"> CA3 Bistratified,  CA3 LMR-Targeting</t>
  </si>
  <si>
    <t xml:space="preserve"> CA3 Bistratified,  CA3 Pyramidal</t>
  </si>
  <si>
    <t xml:space="preserve"> CA3 Bistratified,  CA3 QuaD-LM</t>
  </si>
  <si>
    <t xml:space="preserve"> CA3 Bistratified,  CA3 Trilaminar</t>
  </si>
  <si>
    <t xml:space="preserve"> CA3 Bistratified,  MFA ORDEN</t>
  </si>
  <si>
    <t xml:space="preserve"> CA3 Ivy,  CA3 Axo-Axonic</t>
  </si>
  <si>
    <t xml:space="preserve"> CA3 Ivy,  CA3 Basket</t>
  </si>
  <si>
    <t xml:space="preserve"> CA3 Ivy,  CA3 BC CCK+</t>
  </si>
  <si>
    <t xml:space="preserve"> CA3 Ivy,  CA3 Bistratified</t>
  </si>
  <si>
    <t xml:space="preserve"> CA3 Ivy,  CA3 Ivy</t>
  </si>
  <si>
    <t xml:space="preserve"> CA3 Ivy,  CA3 LMR-Targeting</t>
  </si>
  <si>
    <t xml:space="preserve"> CA3 Ivy,  CA3 Pyramidal</t>
  </si>
  <si>
    <t xml:space="preserve"> CA3 Ivy,  CA3 QuaD-LM</t>
  </si>
  <si>
    <t xml:space="preserve"> CA3 Ivy,  CA3 Trilaminar</t>
  </si>
  <si>
    <t xml:space="preserve"> CA3 Ivy,  MFA ORDEN</t>
  </si>
  <si>
    <t xml:space="preserve"> CA3 LMR-Targeting,  CA3 Axo-Axonic</t>
  </si>
  <si>
    <t xml:space="preserve"> CA3 LMR-Targeting,  CA3 Basket</t>
  </si>
  <si>
    <t xml:space="preserve"> CA3 LMR-Targeting,  CA3 BC CCK+</t>
  </si>
  <si>
    <t xml:space="preserve"> CA3 LMR-Targeting,  CA3 Bistratified</t>
  </si>
  <si>
    <t xml:space="preserve"> CA3 LMR-Targeting,  CA3 Ivy</t>
  </si>
  <si>
    <t xml:space="preserve"> CA3 LMR-Targeting,  CA3 LMR-Targeting</t>
  </si>
  <si>
    <t xml:space="preserve"> CA3 LMR-Targeting,  CA3 Pyramidal</t>
  </si>
  <si>
    <t xml:space="preserve"> CA3 LMR-Targeting,  CA3 QuaD-LM</t>
  </si>
  <si>
    <t xml:space="preserve"> CA3 LMR-Targeting,  MFA ORDEN</t>
  </si>
  <si>
    <t xml:space="preserve"> CA3 Pyramidal,  CA3 Axo-Axonic</t>
  </si>
  <si>
    <t xml:space="preserve"> CA3 Pyramidal,  CA3 Basket</t>
  </si>
  <si>
    <t xml:space="preserve"> CA3 Pyramidal,  CA3 BC CCK+</t>
  </si>
  <si>
    <t xml:space="preserve"> CA3 Pyramidal,  CA3 Bistratified</t>
  </si>
  <si>
    <t xml:space="preserve"> CA3 Pyramidal,  CA3 Ivy</t>
  </si>
  <si>
    <t xml:space="preserve"> CA3 Pyramidal,  CA3 LMR-Targeting</t>
  </si>
  <si>
    <t xml:space="preserve"> CA3 Pyramidal,  CA3 Pyramidal</t>
  </si>
  <si>
    <t xml:space="preserve"> CA3 Pyramidal,  CA3 QuaD-LM</t>
  </si>
  <si>
    <t xml:space="preserve"> CA3 Pyramidal,  CA3 Trilaminar</t>
  </si>
  <si>
    <t xml:space="preserve"> CA3 Pyramidal,  MFA ORDEN</t>
  </si>
  <si>
    <t xml:space="preserve"> CA3 QuaD-LM,  CA3 Axo-Axonic</t>
  </si>
  <si>
    <t xml:space="preserve"> CA3 QuaD-LM,  CA3 Basket</t>
  </si>
  <si>
    <t xml:space="preserve"> CA3 QuaD-LM,  CA3 BC CCK+</t>
  </si>
  <si>
    <t xml:space="preserve"> CA3 QuaD-LM,  CA3 Pyramidal</t>
  </si>
  <si>
    <t xml:space="preserve"> CA3 QuaD-LM,  CA3 LMR-Targeting</t>
  </si>
  <si>
    <t xml:space="preserve"> CA3 Trilaminar,  CA3 Axo-Axonic</t>
  </si>
  <si>
    <t xml:space="preserve"> CA3 Trilaminar,  CA3 Basket</t>
  </si>
  <si>
    <t xml:space="preserve"> CA3 Trilaminar,  CA3 BC CCK+</t>
  </si>
  <si>
    <t xml:space="preserve"> CA3 Trilaminar,  CA3 Bistratified</t>
  </si>
  <si>
    <t xml:space="preserve"> CA3 Trilaminar,  CA3 Ivy</t>
  </si>
  <si>
    <t xml:space="preserve"> CA3 Trilaminar,  CA3 LMR-Targeting</t>
  </si>
  <si>
    <t xml:space="preserve"> CA3 Trilaminar,  CA3 Pyramidal</t>
  </si>
  <si>
    <t xml:space="preserve"> CA3 Trilaminar,  CA3 QuaD-LM</t>
  </si>
  <si>
    <t xml:space="preserve"> CA3 Trilaminar,  CA3 Trilaminar</t>
  </si>
  <si>
    <t xml:space="preserve"> CA3 Trilaminar,  MFA ORDEN</t>
  </si>
  <si>
    <t xml:space="preserve"> MFA ORDEN,  CA3 Axo-Axonic</t>
  </si>
  <si>
    <t xml:space="preserve"> MFA ORDEN,  CA3 Basket</t>
  </si>
  <si>
    <t xml:space="preserve"> MFA ORDEN,  CA3 BC CCK+</t>
  </si>
  <si>
    <t xml:space="preserve"> MFA ORDEN,  CA3 Bistratified</t>
  </si>
  <si>
    <t xml:space="preserve"> MFA ORDEN,  CA3 Ivy</t>
  </si>
  <si>
    <t xml:space="preserve"> MFA ORDEN,  CA3 LMR-Targeting</t>
  </si>
  <si>
    <t xml:space="preserve"> MFA ORDEN,  CA3 Pyramidal</t>
  </si>
  <si>
    <t xml:space="preserve"> MFA ORDEN,  CA3 QuaD-LM</t>
  </si>
  <si>
    <t xml:space="preserve"> MFA ORDEN,  MFA ORDEN</t>
  </si>
  <si>
    <t>CA3 Principal Neuron Population Size References</t>
  </si>
  <si>
    <t>Reference #</t>
  </si>
  <si>
    <t>Reference</t>
  </si>
  <si>
    <r>
      <t xml:space="preserve">Bonthius DJ, McKim R, Koele L, Harb H, Karacay B, Mahoney J, Pantazis NJ. Use of frozen sections to determine neuronal number in the murine hippocampus and neocortex using the optical disector and optical fractionator. </t>
    </r>
    <r>
      <rPr>
        <i/>
        <sz val="11"/>
        <color theme="1"/>
        <rFont val="Calibri"/>
        <family val="2"/>
        <scheme val="minor"/>
      </rPr>
      <t>Brain Res. Prot. 14:45-57;</t>
    </r>
    <r>
      <rPr>
        <sz val="11"/>
        <color theme="1"/>
        <rFont val="Calibri"/>
        <family val="2"/>
        <scheme val="minor"/>
      </rPr>
      <t xml:space="preserve"> 2004.</t>
    </r>
  </si>
  <si>
    <r>
      <t xml:space="preserve">Boss BD, Turlejski K, Stanfield BB, Cowan WM. On the numbers of neurons in fields CA1 and CA3 of the hippocampus of Sprague Dawley and Wistar Rats. </t>
    </r>
    <r>
      <rPr>
        <i/>
        <sz val="11"/>
        <color theme="1"/>
        <rFont val="Calibri"/>
        <family val="2"/>
        <scheme val="minor"/>
      </rPr>
      <t xml:space="preserve">Brain Res. 406:280-287; </t>
    </r>
    <r>
      <rPr>
        <sz val="11"/>
        <color theme="1"/>
        <rFont val="Calibri"/>
        <family val="2"/>
        <scheme val="minor"/>
      </rPr>
      <t>1987.</t>
    </r>
  </si>
  <si>
    <r>
      <t>Fabricius K, Wortwein G, Pakkenberg B. The impact of maternal separation on adult mouse behaviour and on the total neuron number in the mouse hippocampus.</t>
    </r>
    <r>
      <rPr>
        <i/>
        <sz val="11"/>
        <color theme="1"/>
        <rFont val="Calibri"/>
        <family val="2"/>
        <scheme val="minor"/>
      </rPr>
      <t xml:space="preserve"> Brain Struct. Funct. 212:403-416;</t>
    </r>
    <r>
      <rPr>
        <sz val="11"/>
        <color theme="1"/>
        <rFont val="Calibri"/>
        <family val="2"/>
        <scheme val="minor"/>
      </rPr>
      <t xml:space="preserve"> 2008.</t>
    </r>
  </si>
  <si>
    <r>
      <t xml:space="preserve">Fitting S, Booze RM, Hasselrot U, Mactutus CF. Dose-Dependent Long-Term Effects of Tat in the Rat Hippocampal Formation: A Design-Based Stereological Study. </t>
    </r>
    <r>
      <rPr>
        <i/>
        <sz val="11"/>
        <color theme="1"/>
        <rFont val="Calibri"/>
        <family val="2"/>
        <scheme val="minor"/>
      </rPr>
      <t xml:space="preserve">Hippocampus 20(4):469-480; </t>
    </r>
    <r>
      <rPr>
        <sz val="11"/>
        <color theme="1"/>
        <rFont val="Calibri"/>
        <family val="2"/>
        <scheme val="minor"/>
      </rPr>
      <t>2010.</t>
    </r>
  </si>
  <si>
    <r>
      <t xml:space="preserve">Grady MS, Charleston JS, Maris D, Witgen BM, Lifshitz J. Neuronal and Glial Cell Number in the Hippocampus after Experimental Traumatic Brain Injury: Analysis by Stereological Estimation. </t>
    </r>
    <r>
      <rPr>
        <i/>
        <sz val="11"/>
        <color theme="1"/>
        <rFont val="Calibri"/>
        <family val="2"/>
        <scheme val="minor"/>
      </rPr>
      <t xml:space="preserve">J. Neurotrauma 20(10); </t>
    </r>
    <r>
      <rPr>
        <sz val="11"/>
        <color theme="1"/>
        <rFont val="Calibri"/>
        <family val="2"/>
        <scheme val="minor"/>
      </rPr>
      <t>2004.</t>
    </r>
  </si>
  <si>
    <r>
      <t xml:space="preserve">Hosseini-Sharifabad M, Nyengaard JR. Design-based estimation of neuronal number and individual neuronal volume in the rat hippocampus. </t>
    </r>
    <r>
      <rPr>
        <i/>
        <sz val="11"/>
        <color theme="1"/>
        <rFont val="Calibri"/>
        <family val="2"/>
        <scheme val="minor"/>
      </rPr>
      <t xml:space="preserve">J. Neurosci. Met. 162:206-214; </t>
    </r>
    <r>
      <rPr>
        <sz val="11"/>
        <color theme="1"/>
        <rFont val="Calibri"/>
        <family val="2"/>
        <scheme val="minor"/>
      </rPr>
      <t>2007.</t>
    </r>
  </si>
  <si>
    <r>
      <t xml:space="preserve">Jinno S, Kosaka T. Stereological Estimation of Numerical Densities of Glutamatergic Principal Neurons in the Mouse Hippocampus. </t>
    </r>
    <r>
      <rPr>
        <i/>
        <sz val="11"/>
        <color theme="1"/>
        <rFont val="Calibri"/>
        <family val="2"/>
        <scheme val="minor"/>
      </rPr>
      <t>Hippocampus 20:829-840;</t>
    </r>
    <r>
      <rPr>
        <sz val="11"/>
        <color theme="1"/>
        <rFont val="Calibri"/>
        <family val="2"/>
        <scheme val="minor"/>
      </rPr>
      <t xml:space="preserve"> 2010. </t>
    </r>
  </si>
  <si>
    <r>
      <t xml:space="preserve">Kurt MA, Kafa MI, Dierssen M, Davies DC. Deficits of neuronal density in CA1 and synaptic density in the dentate gyrus, CA3 and CA1, in a mouse model of Down syndrome. </t>
    </r>
    <r>
      <rPr>
        <i/>
        <sz val="11"/>
        <color theme="1"/>
        <rFont val="Calibri"/>
        <family val="2"/>
        <scheme val="minor"/>
      </rPr>
      <t xml:space="preserve">Brain Res. 1022:101-109; </t>
    </r>
    <r>
      <rPr>
        <sz val="11"/>
        <color theme="1"/>
        <rFont val="Calibri"/>
        <family val="2"/>
        <scheme val="minor"/>
      </rPr>
      <t>2004.</t>
    </r>
  </si>
  <si>
    <r>
      <t xml:space="preserve">Lister JP, Tonkiss J, Blatt GJ, Kemper TL, DeBassio WA, Galler JR, Rosene DL. Asymmetry of Neuron Numbers in the Hippocampal Formation of Prenatally Malnourished and Normally Nourished Rats: A Stereological Investigation. </t>
    </r>
    <r>
      <rPr>
        <i/>
        <sz val="11"/>
        <color theme="1"/>
        <rFont val="Calibri"/>
        <family val="2"/>
        <scheme val="minor"/>
      </rPr>
      <t xml:space="preserve">Hippocampus 16:946-958; </t>
    </r>
    <r>
      <rPr>
        <sz val="11"/>
        <color theme="1"/>
        <rFont val="Calibri"/>
        <family val="2"/>
        <scheme val="minor"/>
      </rPr>
      <t>2006.</t>
    </r>
  </si>
  <si>
    <t>CA3 Inhibitory Neuron Population Size References</t>
  </si>
  <si>
    <r>
      <t xml:space="preserve">Wheeler DW, White CM, Rees CL, Komendantov AO, Hamilton DJ, Ascoli GA. Hippocampome.org: A knowledge base of neuron types in the rodent hippocampus. </t>
    </r>
    <r>
      <rPr>
        <i/>
        <sz val="11"/>
        <color theme="1"/>
        <rFont val="Calibri"/>
        <family val="2"/>
        <scheme val="minor"/>
      </rPr>
      <t xml:space="preserve">Elife 4:e09960; </t>
    </r>
    <r>
      <rPr>
        <sz val="11"/>
        <color theme="1"/>
        <rFont val="Calibri"/>
        <family val="2"/>
        <scheme val="minor"/>
      </rPr>
      <t>2015.</t>
    </r>
  </si>
  <si>
    <r>
      <t xml:space="preserve">Izhikevich EM. Simple Model of Spiking Neurons. </t>
    </r>
    <r>
      <rPr>
        <i/>
        <sz val="11"/>
        <color theme="1"/>
        <rFont val="Calibri"/>
        <family val="2"/>
        <scheme val="minor"/>
      </rPr>
      <t xml:space="preserve">IEEE Transactions on Neural Networks, 14, 6; </t>
    </r>
    <r>
      <rPr>
        <sz val="11"/>
        <color theme="1"/>
        <rFont val="Calibri"/>
        <family val="2"/>
        <scheme val="minor"/>
      </rPr>
      <t>2003.</t>
    </r>
  </si>
  <si>
    <r>
      <t xml:space="preserve">Venkadesh S, Komendantov AO, Listopad S, Scott EO, De Jong K, Krichmar JL, Ascoli GA. Evolving Simple Models of Diverse Intrinsic Dynamics in Hippocampal Neuron Types. </t>
    </r>
    <r>
      <rPr>
        <i/>
        <sz val="11"/>
        <color theme="1"/>
        <rFont val="Calibri"/>
        <family val="2"/>
        <scheme val="minor"/>
      </rPr>
      <t>Front. Neuroinform</t>
    </r>
    <r>
      <rPr>
        <sz val="11"/>
        <color theme="1"/>
        <rFont val="Calibri"/>
        <family val="2"/>
        <scheme val="minor"/>
      </rPr>
      <t xml:space="preserve">. </t>
    </r>
    <r>
      <rPr>
        <i/>
        <sz val="11"/>
        <color theme="1"/>
        <rFont val="Calibri"/>
        <family val="2"/>
        <scheme val="minor"/>
      </rPr>
      <t xml:space="preserve">12:8; </t>
    </r>
    <r>
      <rPr>
        <sz val="11"/>
        <color theme="1"/>
        <rFont val="Calibri"/>
        <family val="2"/>
        <scheme val="minor"/>
      </rPr>
      <t>2018.</t>
    </r>
  </si>
  <si>
    <t>Pre-Post</t>
  </si>
  <si>
    <t>PI</t>
  </si>
  <si>
    <t>X</t>
  </si>
  <si>
    <t>KE = Known Exc.</t>
  </si>
  <si>
    <t>KI</t>
  </si>
  <si>
    <t>PE = Potential Exc.</t>
  </si>
  <si>
    <t>KI = Known Inh.</t>
  </si>
  <si>
    <t>PI = Potential Inh.</t>
  </si>
  <si>
    <t>X = Refuted Conn.</t>
  </si>
  <si>
    <t xml:space="preserve"> X = No overlap</t>
  </si>
  <si>
    <t>KE</t>
  </si>
  <si>
    <t>PE</t>
  </si>
  <si>
    <t>Neuron Type (Internal)</t>
  </si>
  <si>
    <t>Population Size (Internal)</t>
  </si>
  <si>
    <t>Each Cell Contains a pointer to where the estimate was computed</t>
  </si>
  <si>
    <t>Reference Link</t>
  </si>
  <si>
    <t>Location of Estimate in Reference</t>
  </si>
  <si>
    <t>Animal</t>
  </si>
  <si>
    <t>Population Size estimate (mean)</t>
  </si>
  <si>
    <t>Age</t>
  </si>
  <si>
    <t># Animals Used</t>
  </si>
  <si>
    <t>Quantitative Method</t>
  </si>
  <si>
    <t>Related Notes</t>
  </si>
  <si>
    <t>https://www.sciencedirect.com/science/article/pii/S1385299X04000741?via%3Dihub</t>
  </si>
  <si>
    <t>Results; Table 2; CA3 mean</t>
  </si>
  <si>
    <t>129SVJxB6 Mice</t>
  </si>
  <si>
    <t>10 days</t>
  </si>
  <si>
    <t>stereology</t>
  </si>
  <si>
    <t>Right Hemisphere; Includes CA2</t>
  </si>
  <si>
    <t>https://www.sciencedirect.com/science/article/pii/0006899387907931?via%3Dihub</t>
  </si>
  <si>
    <t>pg. 283; Table 1; CA3 mean</t>
  </si>
  <si>
    <t>F Sprague-Dawley Rat</t>
  </si>
  <si>
    <t>30 days</t>
  </si>
  <si>
    <t>Slice sampling, Abercrombie correction</t>
  </si>
  <si>
    <t>Includes CA2</t>
  </si>
  <si>
    <t>F Wistar Rat</t>
  </si>
  <si>
    <t>https://link.springer.com/content/pdf/10.1007%2Fs00429-007-0169-6.pdf</t>
  </si>
  <si>
    <t xml:space="preserve">pg. 412; Table 3; CA3 mean </t>
  </si>
  <si>
    <t>M/F C57BL/6J Mice</t>
  </si>
  <si>
    <t>11 weeks</t>
  </si>
  <si>
    <t>https://www.ncbi.nlm.nih.gov/pmc/articles/PMC3841077/pdf/nihms329119.pdf</t>
  </si>
  <si>
    <t>pg. 20; Table 2</t>
  </si>
  <si>
    <t>154-160 days</t>
  </si>
  <si>
    <t>https://search-proquest-com.mutex.gmu.edu/docview/204510876?OpenUrlRefId=info:xri/sid:primo&amp;accountid=14541</t>
  </si>
  <si>
    <t>pg. 935; Table 1 (CA3 control) and Figure 4</t>
  </si>
  <si>
    <t>M Sprague-Dawley Rat</t>
  </si>
  <si>
    <t>Adult</t>
  </si>
  <si>
    <t>https://www.sciencedirect.com/science/article/pii/S0165027007000349?via%3Dihub</t>
  </si>
  <si>
    <t>Results; Table 3; CA3 mean</t>
  </si>
  <si>
    <t>M Wistar Rat</t>
  </si>
  <si>
    <t>60 days</t>
  </si>
  <si>
    <t>Stereology</t>
  </si>
  <si>
    <t>https://onlinelibrary.wiley.com/doi/epdf/10.1002/hipo.20685</t>
  </si>
  <si>
    <t>pg. 835; Table 3; CA3 mean of dorsal and ventral used for estimate</t>
  </si>
  <si>
    <t>M C57BL/6J Mice</t>
  </si>
  <si>
    <t>8-11 weeks old</t>
  </si>
  <si>
    <t>https://www.sciencedirect.com/science/article/pii/S0006899304010807?via%3Dihub</t>
  </si>
  <si>
    <t>Results; Table 1; CA3 mean of D1-D4</t>
  </si>
  <si>
    <t>M C57BL/6J Mice</t>
  </si>
  <si>
    <t>16-17 months</t>
  </si>
  <si>
    <t>https://onlinelibrary-wiley-com.mutex.gmu.edu/doi/epdf/10.1002/hipo.20221</t>
  </si>
  <si>
    <t>pg. 949; Table 1; CA3/2 mean of left and right hemispheres</t>
  </si>
  <si>
    <t>M/F Sprague-Dawley Rat</t>
  </si>
  <si>
    <t>90 days</t>
  </si>
  <si>
    <t>Ramsden M, Berchtold NC, Kesslak JP, Cotman CW, Pike CJ. Exercise increases the vulnerability of rat hippocampal neurons to kainate lesion. Brain Res. 971:239-244; 2003.</t>
  </si>
  <si>
    <t>https://www.sciencedirect.com/science/article/pii/S0006899303023655?via%3Dihub</t>
  </si>
  <si>
    <t>Table 1 (Found underneath paragraph beginning with "In agreement with our prior results")</t>
  </si>
  <si>
    <t>Rapp PR, Gallagher M. Preserved neuron number in the hippocampus of aged rats with spatial learning deficits. PNAS 93:9926-9930; 1996.</t>
  </si>
  <si>
    <t>https://www.pnas.org/content/pnas/93/18/9926.full.pdf</t>
  </si>
  <si>
    <t>pg. 9928; Results and Discussion; Paragraph starting with "Quantitative Results from..."; pg. 9929; Figure 3B/3C</t>
  </si>
  <si>
    <t>M Long Evans Rat</t>
  </si>
  <si>
    <t>6 months (Young)</t>
  </si>
  <si>
    <t>pg. 9929; Figure 3B/3C; Made estimate from Figure 3B</t>
  </si>
  <si>
    <t>27-28 months (Aged-Unimpaired)</t>
  </si>
  <si>
    <t>Rasmussen T, Schliemann T, Sorenson JC, Zimmer J, West MJ. Memory Impaired Aged Rats: No Loss of Principal Hippocampal and Subicular Neurons. Neurobiology of Aging 17(1):143-147; 1996.</t>
  </si>
  <si>
    <t>https://ac.els-cdn.com/0197458095020322/1-s2.0-0197458095020322-main.pdf?_tid=feedb283-f09d-4c90-8499-fb0e0576b6f0&amp;acdnat=1550855282_4e93e674e11a3e88346bb6c66580510d</t>
  </si>
  <si>
    <t>pg. 145; Table 1</t>
  </si>
  <si>
    <t>24 months (Nonimpaired Aged)</t>
  </si>
  <si>
    <t>90 days (Young)</t>
  </si>
  <si>
    <t>Sousa N, Madeira MD, Paula-Barbosa MM. Effects of corticosterone treatment and rehabilitation on the hippocampal formation of neonatal and adult rats. An unbiased stereological study. Brain Res. 794(2):199-210; 1998.</t>
  </si>
  <si>
    <t>https://www.sciencedirect.com/science/article/pii/S0006899398002182?via%3Dihub</t>
  </si>
  <si>
    <t>Results section 3.2.3. (Number of Neurons); Figure 2C; Made estimate from where mean ('-') was placed for Control 0-180</t>
  </si>
  <si>
    <t>0-180 days</t>
  </si>
  <si>
    <t>West MJ, Slomianka L, Gundersen HJG. Unbiased stereological estimation of the total number of neurons in the subdivisions of the rat hippocampus using the optical fractionator. Anat. Rec. 231:482-497; 1991.</t>
  </si>
  <si>
    <t>Do not have access to any free version of the article through Mason Library or through PubMed</t>
  </si>
  <si>
    <t>Estimate found in Grady et al, 2004; pg. 935; Table 1 (CA3 control) (Entry C8 for link)</t>
  </si>
  <si>
    <t>Xavier GF, Oliveira-Filho FJ, Santos AM. Dentate gyrus-selective colchicine lesion and disruption of performance in spatial tasks: difficulties in “place strategy” because of a lack of flexibility in the use of environmental cues? Hippocampus 9:668-681; 1999.</t>
  </si>
  <si>
    <t>https://onlinelibrary.wiley.com/doi/epdf/10.1002/%28SICI%291098-1063%281999%299%3A6%3C668%3A%3AAID-HIPO8%3E3.0.CO%3B2-9</t>
  </si>
  <si>
    <t>pg. 674; Figure 3C; Estimate made from control and the estimate provided from Grady et al., Table 1 CA3 control (Entry C8 for link)</t>
  </si>
  <si>
    <t>Not Indicated</t>
  </si>
  <si>
    <t>Estimate (mean)</t>
  </si>
  <si>
    <t>Jinno S, Kosaka T. Cellular architecture of the mouse hippocampus: A quantitative aspect of chemically defined GABAergic neurons with stereology. Neuro. Res. 56:229-245; 2006.</t>
  </si>
  <si>
    <t>https://www.sciencedirect.com/science/article/pii/S0168010206001829?via%3Dihub</t>
  </si>
  <si>
    <t>Table 4 under Section 4.3. "Dorsoventral differences..."; Mean taken from dorsal and ventral numerical densities</t>
  </si>
  <si>
    <t>8-11 weeks</t>
  </si>
  <si>
    <t>PV Numerical Density (mm^3)</t>
  </si>
  <si>
    <t>CR Numerical Density (mm^3)</t>
  </si>
  <si>
    <t>CB Numerical Density (mm^3)</t>
  </si>
  <si>
    <t>NPY Numerical Density (mm^3)</t>
  </si>
  <si>
    <t>SOM Numerical Density (mm^3)</t>
  </si>
  <si>
    <t>CCK Numerical Density (mm^3)</t>
  </si>
  <si>
    <t>VIP Numerical Density (mm^3)</t>
  </si>
  <si>
    <t>NOS Numerical Density (mm^3)</t>
  </si>
  <si>
    <t xml:space="preserve">Table 2 under Section 3.3. "Species differences..."; Mean taken from dorsal and ventral numerical densities </t>
  </si>
  <si>
    <t>GABAergic Numerical Density in Stratum Oriens (mm^3)</t>
  </si>
  <si>
    <t>GABAergic Numerical Density in Stratum Pyramidale (mm^3)</t>
  </si>
  <si>
    <t>GABAergic Numerical Density in Stratum Lucidum (mm^3)</t>
  </si>
  <si>
    <t>GABAergic Numerical Density in Stratum Radiatum (mm^3)</t>
  </si>
  <si>
    <t>GABAergic Numerical Density in Stratum Lacunosum-Moleculare (mm^3)</t>
  </si>
  <si>
    <t>Bezaire MJ, Soltesz I. Quantitative Assessment of CA1 Local Circuits: Knowledge Base for Interneuron-Pyramidal Cell Connectivity. Hippocampus 23(9):751-785; 2013.</t>
  </si>
  <si>
    <t>https://onlinelibrary.wiley.com/doi/epdf/10.1002/hipo.22141</t>
  </si>
  <si>
    <t>pg. 760; Table 4; Total Interneurons</t>
  </si>
  <si>
    <t>Rat, Mice, and Guinea Pig</t>
  </si>
  <si>
    <t>38500 interneurons</t>
  </si>
  <si>
    <t>0-28 months</t>
  </si>
  <si>
    <t>Estimate for CA1 Inhibitory Interneurons</t>
  </si>
  <si>
    <t>Ero C, Gewaltig MO, Keller D, Markram H. A Cell Atlas for the Mouse Brain. Front. Neuroinform.  https://doi.org/10.3389/fninf.2018.00084; 2018.</t>
  </si>
  <si>
    <t>https://www.frontiersin.org/articles/10.3389/fninf.2018.00084/full</t>
  </si>
  <si>
    <t>https://bbp.epfl.ch/nexus/cell-atlas/?v=v2&amp;std=1</t>
  </si>
  <si>
    <t>In the cell atlas, click Hippocampal Formation --&gt; Hippocampal Region --&gt; Ammon's Horn --&gt; Field CA3</t>
  </si>
  <si>
    <t>Mice</t>
  </si>
  <si>
    <t>Estimated Volume of Field CA3 (bilateral; mm^3)</t>
  </si>
  <si>
    <t>In the cell atlas, click Hippocampal Formation --&gt; Hippocampal Region --&gt; Ammon's Horn --&gt; Field CA3 --&gt; Stratum Oriens</t>
  </si>
  <si>
    <t>Estimated Volume of Stratum Oriens (bilateral; mm^3)</t>
  </si>
  <si>
    <t>In the cell atlas, click Hippocampal Formation --&gt; Hippocampal Region --&gt; Ammon's Horn --&gt; Field CA3 --&gt; Stratum Pyramidale</t>
  </si>
  <si>
    <t>Estimated Volume of Stratum Pyramidale (bilateral; mm^3)</t>
  </si>
  <si>
    <t>In the cell atlas, click Hippocampal Formation --&gt; Hippocampal Region --&gt; Ammon's Horn --&gt; Field CA3 --&gt; Stratum Lucidum</t>
  </si>
  <si>
    <t>Estimated Volume of Stratum Lucidum (bilateral; mm^3)</t>
  </si>
  <si>
    <t>In the cell atlas, click Hippocampal Formation --&gt; Hippocampal Region --&gt; Ammon's Horn --&gt; Field CA3 --&gt; Stratum Radiatum</t>
  </si>
  <si>
    <t>Estimated Volume of Stratum Radiatum (bilateral; mm^3)</t>
  </si>
  <si>
    <t>In the cell atlas, click Hippocampal Formation --&gt; Hippocampal Region --&gt; Ammon's Horn --&gt; Field CA3 --&gt; Stratum Lacunosum-Moleculare</t>
  </si>
  <si>
    <t>Estimated Volume of Stratum Lacunosum-Moleculare (bilateral; mm^3)</t>
  </si>
  <si>
    <t>https://elifesciences.org/articles/09960</t>
  </si>
  <si>
    <t>http://hippocampome.org/php/index.php</t>
  </si>
  <si>
    <t>Knowledge Base containing information on morphology, molecular markers, electrophysiology, and connectivity for the rodent hippocampus</t>
  </si>
  <si>
    <t>CA3 Layer</t>
  </si>
  <si>
    <t>GABAergic Population Size (Bilateral)</t>
  </si>
  <si>
    <t>GABAergic Population Size (Unilateral)</t>
  </si>
  <si>
    <t>Cells Involved in the Computation</t>
  </si>
  <si>
    <t>How the computation was performed</t>
  </si>
  <si>
    <t>Stratum Oriens</t>
  </si>
  <si>
    <t>F34, F42</t>
  </si>
  <si>
    <t>Calculated the GABAergic population size in SO (bilateral) by mutliplying the ND of SO (F34) by the volume of the layer (F42). The unilateral population size is one half the bilateral population size.</t>
  </si>
  <si>
    <t>Stratum Pyramidale</t>
  </si>
  <si>
    <t>F35, F43</t>
  </si>
  <si>
    <t>Calculated the GABAergic population size in SP (bilateral) by mutliplying the ND of SP (F35) by the volume of the layer (F43). The unilateral population size is one half the bilateral population size.</t>
  </si>
  <si>
    <t>Stratum Lucidum</t>
  </si>
  <si>
    <t>F36, F44</t>
  </si>
  <si>
    <t>Calculated the GABAergic population size in SL (bilateral) by mutliplying the ND of SL (F36) by the volume of the layer (F44). The unilateral population size is one half the bilateral population size.</t>
  </si>
  <si>
    <t>Stratum Radiatum</t>
  </si>
  <si>
    <t>F37, F45</t>
  </si>
  <si>
    <t>Calculated the GABAergic population size in SR (bilateral) by mutliplying the ND of SR (F37) by the volume of the layer (F45). The unilateral population size is one half the bilateral population size.</t>
  </si>
  <si>
    <t>Stratum Lacunosum-Moleculare</t>
  </si>
  <si>
    <t>F38, F46</t>
  </si>
  <si>
    <t>Calculated the GABAergic population size in SLM (bilateral) by mutliplying the ND of SLM (F38) by the volume of the layer (F46). The unilateral population size is one half the bilateral population size.</t>
  </si>
  <si>
    <t xml:space="preserve"> </t>
  </si>
  <si>
    <t>Layer-specific somata (bolded neuron types are used in the reduced CA3 SNN)</t>
  </si>
  <si>
    <t>Equation (Using Unilateral Layer Population Estimates)</t>
  </si>
  <si>
    <t>Population Size Estimate for Each Neuron Type in the Layer</t>
  </si>
  <si>
    <t>Why the computation was performed</t>
  </si>
  <si>
    <r>
      <t xml:space="preserve">Horizontal AAC
</t>
    </r>
    <r>
      <rPr>
        <b/>
        <sz val="11"/>
        <color theme="1"/>
        <rFont val="Calibri"/>
        <family val="2"/>
        <scheme val="minor"/>
      </rPr>
      <t xml:space="preserve">Bistratified
</t>
    </r>
    <r>
      <rPr>
        <sz val="11"/>
        <color theme="1"/>
        <rFont val="Calibri"/>
        <family val="2"/>
        <scheme val="minor"/>
      </rPr>
      <t xml:space="preserve">IS-Oriens
IS-Quad
</t>
    </r>
    <r>
      <rPr>
        <b/>
        <sz val="11"/>
        <color theme="1"/>
        <rFont val="Calibri"/>
        <family val="2"/>
        <scheme val="minor"/>
      </rPr>
      <t xml:space="preserve">MFA Orden
</t>
    </r>
    <r>
      <rPr>
        <sz val="11"/>
        <color theme="1"/>
        <rFont val="Calibri"/>
        <family val="2"/>
        <scheme val="minor"/>
      </rPr>
      <t xml:space="preserve">O-LM
</t>
    </r>
    <r>
      <rPr>
        <b/>
        <sz val="11"/>
        <color theme="1"/>
        <rFont val="Calibri"/>
        <family val="2"/>
        <scheme val="minor"/>
      </rPr>
      <t>QuaD-LM
Trilaminar</t>
    </r>
  </si>
  <si>
    <r>
      <t>1/8*Horizontal AAC + 1/8*</t>
    </r>
    <r>
      <rPr>
        <b/>
        <sz val="11"/>
        <color theme="1"/>
        <rFont val="Calibri"/>
        <family val="2"/>
        <scheme val="minor"/>
      </rPr>
      <t>Bistratified</t>
    </r>
    <r>
      <rPr>
        <sz val="11"/>
        <color theme="1"/>
        <rFont val="Calibri"/>
        <family val="2"/>
        <scheme val="minor"/>
      </rPr>
      <t xml:space="preserve"> + 1/8*IS-Oriens + 1/8*IS-Quad + 1/8*</t>
    </r>
    <r>
      <rPr>
        <b/>
        <sz val="11"/>
        <color theme="1"/>
        <rFont val="Calibri"/>
        <family val="2"/>
        <scheme val="minor"/>
      </rPr>
      <t>MFA Orden</t>
    </r>
    <r>
      <rPr>
        <sz val="11"/>
        <color theme="1"/>
        <rFont val="Calibri"/>
        <family val="2"/>
        <scheme val="minor"/>
      </rPr>
      <t xml:space="preserve"> + 1/8*O-LM + 1/8*</t>
    </r>
    <r>
      <rPr>
        <b/>
        <sz val="11"/>
        <color theme="1"/>
        <rFont val="Calibri"/>
        <family val="2"/>
        <scheme val="minor"/>
      </rPr>
      <t>QuaD-LM</t>
    </r>
    <r>
      <rPr>
        <sz val="11"/>
        <color theme="1"/>
        <rFont val="Calibri"/>
        <family val="2"/>
        <scheme val="minor"/>
      </rPr>
      <t xml:space="preserve"> + 1/8*</t>
    </r>
    <r>
      <rPr>
        <b/>
        <sz val="11"/>
        <color theme="1"/>
        <rFont val="Calibri"/>
        <family val="2"/>
        <scheme val="minor"/>
      </rPr>
      <t>Trilaminar</t>
    </r>
    <r>
      <rPr>
        <sz val="11"/>
        <color theme="1"/>
        <rFont val="Calibri"/>
        <family val="2"/>
        <scheme val="minor"/>
      </rPr>
      <t xml:space="preserve"> = 3649</t>
    </r>
  </si>
  <si>
    <t>C53</t>
  </si>
  <si>
    <t>The computation was performed to get an estimate for each neuron type in SO, with the assumption that each neuron type has equal contribution in the layer. The GABAergic population size for the layer can be found in cell C53.</t>
  </si>
  <si>
    <r>
      <t xml:space="preserve">Axo-Axonic
BC PV+
BC CCK+
Bistratified
</t>
    </r>
    <r>
      <rPr>
        <sz val="11"/>
        <color theme="1"/>
        <rFont val="Calibri"/>
        <family val="2"/>
        <scheme val="minor"/>
      </rPr>
      <t>IS-Quad</t>
    </r>
    <r>
      <rPr>
        <b/>
        <sz val="11"/>
        <color theme="1"/>
        <rFont val="Calibri"/>
        <family val="2"/>
        <scheme val="minor"/>
      </rPr>
      <t xml:space="preserve">
MFA Orden
QuaD-LM</t>
    </r>
  </si>
  <si>
    <r>
      <t>1/7*</t>
    </r>
    <r>
      <rPr>
        <b/>
        <sz val="11"/>
        <color theme="1"/>
        <rFont val="Calibri"/>
        <family val="2"/>
        <scheme val="minor"/>
      </rPr>
      <t>Axo-Axonic</t>
    </r>
    <r>
      <rPr>
        <sz val="11"/>
        <color theme="1"/>
        <rFont val="Calibri"/>
        <family val="2"/>
        <scheme val="minor"/>
      </rPr>
      <t xml:space="preserve"> + 1/7*</t>
    </r>
    <r>
      <rPr>
        <b/>
        <sz val="11"/>
        <color theme="1"/>
        <rFont val="Calibri"/>
        <family val="2"/>
        <scheme val="minor"/>
      </rPr>
      <t>BC PV</t>
    </r>
    <r>
      <rPr>
        <sz val="11"/>
        <color theme="1"/>
        <rFont val="Calibri"/>
        <family val="2"/>
        <scheme val="minor"/>
      </rPr>
      <t xml:space="preserve"> + 1/7*</t>
    </r>
    <r>
      <rPr>
        <b/>
        <sz val="11"/>
        <color theme="1"/>
        <rFont val="Calibri"/>
        <family val="2"/>
        <scheme val="minor"/>
      </rPr>
      <t>BC CCK</t>
    </r>
    <r>
      <rPr>
        <sz val="11"/>
        <color theme="1"/>
        <rFont val="Calibri"/>
        <family val="2"/>
        <scheme val="minor"/>
      </rPr>
      <t xml:space="preserve"> + 1/7*</t>
    </r>
    <r>
      <rPr>
        <b/>
        <sz val="11"/>
        <color theme="1"/>
        <rFont val="Calibri"/>
        <family val="2"/>
        <scheme val="minor"/>
      </rPr>
      <t>Bistratified</t>
    </r>
    <r>
      <rPr>
        <sz val="11"/>
        <color theme="1"/>
        <rFont val="Calibri"/>
        <family val="2"/>
        <scheme val="minor"/>
      </rPr>
      <t xml:space="preserve"> + 1/7*IS-Quad + 1/7*</t>
    </r>
    <r>
      <rPr>
        <b/>
        <sz val="11"/>
        <color theme="1"/>
        <rFont val="Calibri"/>
        <family val="2"/>
        <scheme val="minor"/>
      </rPr>
      <t>MFA Orden</t>
    </r>
    <r>
      <rPr>
        <sz val="11"/>
        <color theme="1"/>
        <rFont val="Calibri"/>
        <family val="2"/>
        <scheme val="minor"/>
      </rPr>
      <t xml:space="preserve"> + 1/7*</t>
    </r>
    <r>
      <rPr>
        <b/>
        <sz val="11"/>
        <color theme="1"/>
        <rFont val="Calibri"/>
        <family val="2"/>
        <scheme val="minor"/>
      </rPr>
      <t>QuaD-LM</t>
    </r>
    <r>
      <rPr>
        <sz val="11"/>
        <color theme="1"/>
        <rFont val="Calibri"/>
        <family val="2"/>
        <scheme val="minor"/>
      </rPr>
      <t xml:space="preserve"> = 7195</t>
    </r>
  </si>
  <si>
    <t>C54</t>
  </si>
  <si>
    <t>The computation was performed to get an estimate for each neuron type in SP, with the assumption that each neuron type has equal contribution in the layer. The GABAergic population size for the layer can be found in cell C54.</t>
  </si>
  <si>
    <r>
      <t xml:space="preserve">IS-Quad
</t>
    </r>
    <r>
      <rPr>
        <b/>
        <sz val="11"/>
        <color theme="1"/>
        <rFont val="Calibri"/>
        <family val="2"/>
        <scheme val="minor"/>
      </rPr>
      <t>Ivy</t>
    </r>
    <r>
      <rPr>
        <sz val="11"/>
        <color theme="1"/>
        <rFont val="Calibri"/>
        <family val="2"/>
        <scheme val="minor"/>
      </rPr>
      <t xml:space="preserve">
Lucidum LAX
Lucidum ORAX
Lucidum-Radiatum
Spiny Lucidum
MFA
</t>
    </r>
    <r>
      <rPr>
        <b/>
        <sz val="11"/>
        <color theme="1"/>
        <rFont val="Calibri"/>
        <family val="2"/>
        <scheme val="minor"/>
      </rPr>
      <t>MFA Orden
QuaD-LM</t>
    </r>
  </si>
  <si>
    <r>
      <t>1/9*IS-Quad + 1/9*</t>
    </r>
    <r>
      <rPr>
        <b/>
        <sz val="11"/>
        <color theme="1"/>
        <rFont val="Calibri"/>
        <family val="2"/>
        <scheme val="minor"/>
      </rPr>
      <t>Ivy</t>
    </r>
    <r>
      <rPr>
        <sz val="11"/>
        <color theme="1"/>
        <rFont val="Calibri"/>
        <family val="2"/>
        <scheme val="minor"/>
      </rPr>
      <t xml:space="preserve"> + 1/9*Lucidum LAX + 1/9*Lucidum ORAX + 1/9*Lucidum-Radiatum + 1/9*Spiny Lucidum + 1/9*MFA + 1/9*</t>
    </r>
    <r>
      <rPr>
        <b/>
        <sz val="11"/>
        <color theme="1"/>
        <rFont val="Calibri"/>
        <family val="2"/>
        <scheme val="minor"/>
      </rPr>
      <t>MFA Orden</t>
    </r>
    <r>
      <rPr>
        <sz val="11"/>
        <color theme="1"/>
        <rFont val="Calibri"/>
        <family val="2"/>
        <scheme val="minor"/>
      </rPr>
      <t xml:space="preserve"> + 1/9*</t>
    </r>
    <r>
      <rPr>
        <b/>
        <sz val="11"/>
        <color theme="1"/>
        <rFont val="Calibri"/>
        <family val="2"/>
        <scheme val="minor"/>
      </rPr>
      <t>QuaD-LM</t>
    </r>
    <r>
      <rPr>
        <sz val="11"/>
        <color theme="1"/>
        <rFont val="Calibri"/>
        <family val="2"/>
        <scheme val="minor"/>
      </rPr>
      <t xml:space="preserve"> = 650</t>
    </r>
  </si>
  <si>
    <t>C55</t>
  </si>
  <si>
    <t>The computation was performed to get an estimate for each neuron type in SL, with the assumption that each neuron type has equal contribution in the layer. The GABAergic population size for the layer can be found in cell C55.</t>
  </si>
  <si>
    <r>
      <t xml:space="preserve">IS-Quad
MFA
</t>
    </r>
    <r>
      <rPr>
        <b/>
        <sz val="11"/>
        <color theme="1"/>
        <rFont val="Calibri"/>
        <family val="2"/>
        <scheme val="minor"/>
      </rPr>
      <t>QuaD-LM</t>
    </r>
    <r>
      <rPr>
        <sz val="11"/>
        <color theme="1"/>
        <rFont val="Calibri"/>
        <family val="2"/>
        <scheme val="minor"/>
      </rPr>
      <t xml:space="preserve">
Radiatum
R-LM</t>
    </r>
  </si>
  <si>
    <r>
      <t>1/5*IS-Quad + 1/5*MFA + 1/5*</t>
    </r>
    <r>
      <rPr>
        <b/>
        <sz val="11"/>
        <color theme="1"/>
        <rFont val="Calibri"/>
        <family val="2"/>
        <scheme val="minor"/>
      </rPr>
      <t>QuaD-LM</t>
    </r>
    <r>
      <rPr>
        <sz val="11"/>
        <color theme="1"/>
        <rFont val="Calibri"/>
        <family val="2"/>
        <scheme val="minor"/>
      </rPr>
      <t xml:space="preserve"> + 1/5*Radiatum + 1/5*R-LM = 5684</t>
    </r>
  </si>
  <si>
    <t>C56</t>
  </si>
  <si>
    <t>The computation was performed to get an estimate for each neuron type in SR, with the assumption that each neuron type has equal contribution in the layer. The GABAergic population size for the layer can be found in cell C56.</t>
  </si>
  <si>
    <t>LMRT</t>
  </si>
  <si>
    <t>LMRT = 228</t>
  </si>
  <si>
    <t>C57</t>
  </si>
  <si>
    <t>The computation was performed to get an estimate for each neuron type in SLM, with the assumption that each neuron type has equal contribution in the layer. The GABAergic population size for the layer can be found in cell C57.</t>
  </si>
  <si>
    <t>Inhibitory Cell Types</t>
  </si>
  <si>
    <t>Inhibitory Cell Type Population Size Estimates</t>
  </si>
  <si>
    <t>D66</t>
  </si>
  <si>
    <t>The computation was performed to obtain an estimate for the population size of LMRT neurons in the SNN.</t>
  </si>
  <si>
    <t>QuaD-LM</t>
  </si>
  <si>
    <t>D62:D65</t>
  </si>
  <si>
    <t xml:space="preserve">The QuaD-LM population size was computed from a sum of population size estimates of the neuron type in each of the layer(s) that its somata appear in according to Ref #19 (see C48 for link, and D62:D66 for layer specific population size estimates for the neuron types) </t>
  </si>
  <si>
    <t>The computation was performed to obtain an estimate for the population size of QuaD-LM neurons in the SNN.</t>
  </si>
  <si>
    <t>Axo-Axonic</t>
  </si>
  <si>
    <t>D63</t>
  </si>
  <si>
    <t xml:space="preserve">The Axo-Axonic population size was computed from a sum of population size estimates of the neuron type in each of the layer(s) that its somata appear in according to Ref #19 (see C48 for link, andD62:D66 for layer specific population size estimates for the neuron types) </t>
  </si>
  <si>
    <t>The computation was performed to obtain an estimate for the population size of Axo-Axonic neurons in the SNN.</t>
  </si>
  <si>
    <t xml:space="preserve">BC PV+ </t>
  </si>
  <si>
    <t xml:space="preserve">The BC PV+ population size was computed from a sum of population size estimates of the neuron type in each of the layer(s) that its somata appear in according to Ref #19 (see C48 for link, and D62:D66 for layer specific population size estimates for the neuron types) </t>
  </si>
  <si>
    <t>The computation was performed to obtain an estimate for the population size of BC PV+ neurons in the SNN.</t>
  </si>
  <si>
    <t>BC CCK+</t>
  </si>
  <si>
    <t xml:space="preserve">The BC CCK+ population size was computed from a sum of population size estimates of the neuron type in each of the layer(s) that its somata appear in according to Ref #19 (see C48 for link, and D62:D66 for layer specific population size estimates for the neuron types) </t>
  </si>
  <si>
    <t>The computation was performed to obtain an estimate for the population size of BC CCK+ neurons in the SNN.</t>
  </si>
  <si>
    <t>Bistratified</t>
  </si>
  <si>
    <t>D62, D63</t>
  </si>
  <si>
    <t xml:space="preserve">The Bistratified population size was computed from a sum of population size estimates of the neuron type in each of the layer(s) that its somata appear in according to Ref #19 (see C48 for link, and D62:D66 for layer specific population size estimates for the neuron types) </t>
  </si>
  <si>
    <t>The computation was performed to obtain an estimate for the population size of Bistratified neurons in the SNN.</t>
  </si>
  <si>
    <t>Ivy</t>
  </si>
  <si>
    <t>D64</t>
  </si>
  <si>
    <t>The computation was performed to obtain an estimate for the population size of Ivy neurons in the SNN.</t>
  </si>
  <si>
    <t>Trilaminar</t>
  </si>
  <si>
    <t xml:space="preserve">The Trilaminar population size was computed from a sum of population size estimates of the neuron type in each of the layer(s) that its somata appear in according to Ref #19 (see C48 for link, and D62:D66 for layer specific population size estimates for the neuron types) </t>
  </si>
  <si>
    <t>The computation was performed to obtain an estimate for the population size of Trilaminar neurons in the SNN.</t>
  </si>
  <si>
    <t>MFA Orden</t>
  </si>
  <si>
    <t>D62:D64</t>
  </si>
  <si>
    <t xml:space="preserve">The MFA Orden population size was computed from a sum of population size estimates of the neuron type in each of the layer(s) that its somata appear in according to Ref #19 (see C48 for link, and D62:D66 for layer specific population size estimates for the neuron types) </t>
  </si>
  <si>
    <t>The computation was performed to obtain an estimate for the population size of MFA Orden neurons in the SNN.</t>
  </si>
  <si>
    <t>Principal Cell Type</t>
  </si>
  <si>
    <t>Principal Cell Type Population Size Estimate</t>
  </si>
  <si>
    <t>Equation</t>
  </si>
  <si>
    <t>Pyr</t>
  </si>
  <si>
    <r>
      <t xml:space="preserve">where SP_vol is the volume of layer Stratum Pyramidale, </t>
    </r>
    <r>
      <rPr>
        <sz val="11"/>
        <color theme="1"/>
        <rFont val="Calibri"/>
        <family val="2"/>
      </rPr>
      <t xml:space="preserve">μ are the mean population sizes, and </t>
    </r>
    <r>
      <rPr>
        <sz val="11"/>
        <color theme="1"/>
        <rFont val="Calibri"/>
        <family val="2"/>
        <scheme val="minor"/>
      </rPr>
      <t>N = 18</t>
    </r>
  </si>
  <si>
    <t>F3:F20</t>
  </si>
  <si>
    <t>The computation was performed by taking the mean of all the CA3 pyramidal cell estimates collected from the literature (see C3:C20 for links to literature references). More specifically, first, the mean pyramidal population sizes of rats were divided by two to get an estimate for pyramidal cell size scaled to mice. A mean of each of the population size means was then computed and scaled by the mean layer volume of SP (see cell F43).</t>
  </si>
  <si>
    <t>The computation was performed to get an estimate at the mean number of pyramidal neurons that would be involved in the reduced CA3 SNN.</t>
  </si>
  <si>
    <t>Neuron Type (External)</t>
  </si>
  <si>
    <t>Population Size (External)</t>
  </si>
  <si>
    <t>DG Granule Population Size References</t>
  </si>
  <si>
    <t>Population Size (Estimate)</t>
  </si>
  <si>
    <t>Attili SM, Mackesey ST, Ascoli GA. Operations Research Methods for Estimating the Population Size of Neuron Types (submitted)</t>
  </si>
  <si>
    <t>Simulated Annealing using data obtained from stereological methods, slice sampling based on morphological/electrophysiological classification, or visual inspection</t>
  </si>
  <si>
    <t>MEC LII Stellate Population Size References</t>
  </si>
  <si>
    <t>Attili SM, Silva MFM, Nguyen T, Ascoli GA. Cell numbers, distribution, shape, and regional variation throughout the murine hippocampal formation from the adult brain Allen Reference Atlas (submitted)</t>
  </si>
  <si>
    <t>Results section, Table 2</t>
  </si>
  <si>
    <t>MEC LII size obtained through the use of the ImageJ and CellProfiler image segmentation pipelines</t>
  </si>
  <si>
    <t>Given that Stellate cells are the principal cell of MEC LII, we assume that they make up 50% of the total population size for the layer, which is 66,365</t>
  </si>
  <si>
    <t>External Cell Type</t>
  </si>
  <si>
    <t>External Cell Type Population Size Estimate</t>
  </si>
  <si>
    <t>MEC LII Stellate</t>
  </si>
  <si>
    <t>Neuron Type</t>
  </si>
  <si>
    <t>k_mean</t>
  </si>
  <si>
    <t>k_std</t>
  </si>
  <si>
    <t>a_mean</t>
  </si>
  <si>
    <t>a_std</t>
  </si>
  <si>
    <t>b_mean</t>
  </si>
  <si>
    <t>b_std</t>
  </si>
  <si>
    <t>d_mean</t>
  </si>
  <si>
    <t>d_std</t>
  </si>
  <si>
    <t>C_mean</t>
  </si>
  <si>
    <t>C_std</t>
  </si>
  <si>
    <t>Vr_mean</t>
  </si>
  <si>
    <t>Vr_std</t>
  </si>
  <si>
    <t>Vt_mean</t>
  </si>
  <si>
    <t>Vt_std</t>
  </si>
  <si>
    <t>Vmin_mean</t>
  </si>
  <si>
    <t>Vmin_std</t>
  </si>
  <si>
    <t>Vpeak_mean</t>
  </si>
  <si>
    <t>Vpeak_std</t>
  </si>
  <si>
    <t>Venkadesh S, Komendantov AO, Wheeler DW, Hamilton DJ, Ascoli GA. Simple models of diverse quantitative spike pattern phenotypes in hippocampal neurons: Towards an efficient approach to large-scale network modeling (in review).</t>
  </si>
  <si>
    <t>EA_trial</t>
  </si>
  <si>
    <t>k</t>
  </si>
  <si>
    <t>a</t>
  </si>
  <si>
    <t>b</t>
  </si>
  <si>
    <t>d</t>
  </si>
  <si>
    <t>C</t>
  </si>
  <si>
    <t>Vr</t>
  </si>
  <si>
    <t>Vt</t>
  </si>
  <si>
    <t>Vmin</t>
  </si>
  <si>
    <t>Vpeak</t>
  </si>
  <si>
    <t>EA_fitness</t>
  </si>
  <si>
    <t>mean</t>
  </si>
  <si>
    <t>std</t>
  </si>
  <si>
    <t>CA3 Basket CCK</t>
  </si>
  <si>
    <t>Value</t>
  </si>
  <si>
    <t>Relevant Notes</t>
  </si>
  <si>
    <t>Tecuatl C, Wheeler DW, Ascoli GA. Estimating probabilities of potential synaptic connections by axonal-dendritic overlap in local hippocampal circuits. (in preparation)</t>
  </si>
  <si>
    <t>Pixel-counting algorithms are first used to determine axonal and dendritic lengths in each layer of CA3 for each neuron type. A probability of connection can then be computed from axonal-dendritic overlap in each layer, and then these probabilities are summed to get the total probability of connection between two neuron types.</t>
  </si>
  <si>
    <t># of pyramidal-pyramidal contacts</t>
  </si>
  <si>
    <t># of interneuron-pyramidal contacts</t>
  </si>
  <si>
    <t># of pyramidal-interneuron contacts</t>
  </si>
  <si>
    <t># of interneuron-interneuron contacts</t>
  </si>
  <si>
    <t>Location of Measurement in Reference</t>
  </si>
  <si>
    <t>Measurement</t>
  </si>
  <si>
    <t>Measurement Value</t>
  </si>
  <si>
    <r>
      <t xml:space="preserve">Tamamaki N, Nojyo Y. Projection of the entorhinal layer II neurons in the rat as revealed by intracellular pressure-injection of neurobiotin. </t>
    </r>
    <r>
      <rPr>
        <i/>
        <sz val="11"/>
        <color theme="1"/>
        <rFont val="Calibri"/>
        <family val="2"/>
        <scheme val="minor"/>
      </rPr>
      <t xml:space="preserve">Hippocampus 3(4):471-480; </t>
    </r>
    <r>
      <rPr>
        <sz val="11"/>
        <color theme="1"/>
        <rFont val="Calibri"/>
        <family val="2"/>
        <scheme val="minor"/>
      </rPr>
      <t>1993.</t>
    </r>
  </si>
  <si>
    <t>https://onlinelibrary.wiley.com/doi/abs/10.1002/hipo.450030408</t>
  </si>
  <si>
    <t>N/A</t>
  </si>
  <si>
    <r>
      <t xml:space="preserve">Scorcioni R, Ascoli GA. Algorithmic reconstruction of complete axonal arborizations in rat hippocampal neurons. </t>
    </r>
    <r>
      <rPr>
        <i/>
        <sz val="11"/>
        <color theme="1"/>
        <rFont val="Calibri"/>
        <family val="2"/>
        <scheme val="minor"/>
      </rPr>
      <t xml:space="preserve">Neurocomputing 65-66:15-22; </t>
    </r>
    <r>
      <rPr>
        <sz val="11"/>
        <color theme="1"/>
        <rFont val="Calibri"/>
        <family val="2"/>
        <scheme val="minor"/>
      </rPr>
      <t>2005.</t>
    </r>
  </si>
  <si>
    <t>https://www.sciencedirect.com/science/article/pii/S0925231204004746?via%3Dihub</t>
  </si>
  <si>
    <t xml:space="preserve">Stellate neuron reconstructed from Tamamaki raw data set </t>
  </si>
  <si>
    <r>
      <t>Full Stellate Axon Length (</t>
    </r>
    <r>
      <rPr>
        <sz val="11"/>
        <color theme="1"/>
        <rFont val="Calibri"/>
        <family val="2"/>
      </rPr>
      <t>μm)</t>
    </r>
  </si>
  <si>
    <t>Used cvapp to obtain just the axon from the reconstruction, and then used L-measure to obtain length</t>
  </si>
  <si>
    <r>
      <t>Stellate Axon Length in CA3 + CA2 (</t>
    </r>
    <r>
      <rPr>
        <sz val="11"/>
        <color theme="1"/>
        <rFont val="Calibri"/>
        <family val="2"/>
      </rPr>
      <t>μm)</t>
    </r>
  </si>
  <si>
    <t>Used cvapp to get an approximate region for CA3 and CA2, and then used L-measure to obtain length</t>
  </si>
  <si>
    <r>
      <t xml:space="preserve">Esclapez M, Hirsch JC, Ben-Ari Y, Bernard C. Newly formed excitatory pathways provide a substrate for hyperexcitability in experimental temporal lobe epilepsy. </t>
    </r>
    <r>
      <rPr>
        <i/>
        <sz val="11"/>
        <color theme="1"/>
        <rFont val="Calibri"/>
        <family val="2"/>
        <scheme val="minor"/>
      </rPr>
      <t xml:space="preserve">J Comp Neurol. 408:449-460; </t>
    </r>
    <r>
      <rPr>
        <sz val="11"/>
        <color theme="1"/>
        <rFont val="Calibri"/>
        <family val="2"/>
        <scheme val="minor"/>
      </rPr>
      <t>1999.</t>
    </r>
  </si>
  <si>
    <t>https://onlinelibrary.wiley.com/doi/epdf/10.1002/%28SICI%291096-9861%2819990614%29408%3A4%3C449%3A%3AAID-CNE1%3E3.0.CO%3B2-R</t>
  </si>
  <si>
    <t>pg. 455, first paragraph, under Morphological alterations of CA1 pyramidal cells</t>
  </si>
  <si>
    <t>Bouton Count for Full Stellate Axon</t>
  </si>
  <si>
    <t>Bouton Count for Stellate Axon in CA3 + CA2</t>
  </si>
  <si>
    <t>Table 2 (List of Explicit Forced Assumptions We Were Compelled to Make)</t>
  </si>
  <si>
    <t>Assumption that each stellate cell synapses only once onto each postsynaptic CA3 pyramidal cell (Adapted from assumption 3 of reference 3)</t>
  </si>
  <si>
    <t>Assumption that each stellate cell connection onto a CA3 interneuron comprises three synapses (Adapted from assumption 4 of reference 3)</t>
  </si>
  <si>
    <r>
      <t>Acs</t>
    </r>
    <r>
      <rPr>
        <sz val="11"/>
        <color theme="1"/>
        <rFont val="Calibri"/>
        <family val="2"/>
      </rPr>
      <t>ády L, Kamondi A, Sí</t>
    </r>
    <r>
      <rPr>
        <sz val="11"/>
        <color theme="1"/>
        <rFont val="Calibri"/>
        <family val="2"/>
        <scheme val="minor"/>
      </rPr>
      <t>k A, Freund T, Buzs</t>
    </r>
    <r>
      <rPr>
        <sz val="11"/>
        <color theme="1"/>
        <rFont val="Calibri"/>
        <family val="2"/>
      </rPr>
      <t>áki G. GABAergic Cells Are the Major Postsynaptic Targets of Mossy Fibers in the Rat Hippocampus</t>
    </r>
  </si>
  <si>
    <t>http://www.jneurosci.org/content/jneuro/18/9/3386.full.pdf</t>
  </si>
  <si>
    <t>Results section under Axonal trajectory of the main mossy fiber, pg. 3387</t>
  </si>
  <si>
    <t>Average Granule Axon Length in CA3a (μm)</t>
  </si>
  <si>
    <t>Average Granule Axon Length in CA3b (μm)</t>
  </si>
  <si>
    <t>Results section under Mossy fibers have different terminal types, pg. 3388</t>
  </si>
  <si>
    <t>Mean Bouton Count for Granule Axon in CA3a</t>
  </si>
  <si>
    <t>Results section under Mossy fibers have different terminal types, pg. 3391</t>
  </si>
  <si>
    <t>Filopodial extensions for Granule Axon in CA3</t>
  </si>
  <si>
    <t>Took the mean of the range provided (25-35)</t>
  </si>
  <si>
    <t>En passant extensions for Granule Axon in CA3</t>
  </si>
  <si>
    <t>Took the ceiling of the mean of the range provided (12-17)</t>
  </si>
  <si>
    <r>
      <t>Tak</t>
    </r>
    <r>
      <rPr>
        <sz val="11"/>
        <color theme="1"/>
        <rFont val="Calibri"/>
        <family val="2"/>
      </rPr>
      <t>á</t>
    </r>
    <r>
      <rPr>
        <sz val="11"/>
        <color theme="1"/>
        <rFont val="Calibri"/>
        <family val="2"/>
        <scheme val="minor"/>
      </rPr>
      <t>cs VT, Klausberger T, Somogyi P, Freund TF, Guly</t>
    </r>
    <r>
      <rPr>
        <sz val="11"/>
        <color theme="1"/>
        <rFont val="Calibri"/>
        <family val="2"/>
      </rPr>
      <t>á</t>
    </r>
    <r>
      <rPr>
        <sz val="11"/>
        <color theme="1"/>
        <rFont val="Calibri"/>
        <family val="2"/>
        <scheme val="minor"/>
      </rPr>
      <t xml:space="preserve">s AI. Extrinsic and local glutamatergic inputs of the rat hippocampal CA1 area differentially innervate pyramidal cells and interneurons. </t>
    </r>
    <r>
      <rPr>
        <i/>
        <sz val="11"/>
        <color theme="1"/>
        <rFont val="Calibri"/>
        <family val="2"/>
        <scheme val="minor"/>
      </rPr>
      <t xml:space="preserve">Hippocampus 22:1379-1391; </t>
    </r>
    <r>
      <rPr>
        <sz val="11"/>
        <color theme="1"/>
        <rFont val="Calibri"/>
        <family val="2"/>
        <scheme val="minor"/>
      </rPr>
      <t>2012.</t>
    </r>
  </si>
  <si>
    <t>https://www.ncbi.nlm.nih.gov/pmc/articles/PMC4473063/</t>
  </si>
  <si>
    <t>Results section, Statistical Comparison of the Postsynaptic Target Selection of Different Glutamatergic Pathways to CA1 Area, Figure 4</t>
  </si>
  <si>
    <t>Stellate Cell Divergence</t>
  </si>
  <si>
    <t>Part of Axon</t>
  </si>
  <si>
    <t>Excitatory connections</t>
  </si>
  <si>
    <t>Inhibitory connections</t>
  </si>
  <si>
    <t>Full Axon</t>
  </si>
  <si>
    <t>Axon in CA3 + CA2</t>
  </si>
  <si>
    <t>Probability of connection of MEC LII Stellate to CA3 neuron types:</t>
  </si>
  <si>
    <t>CA3 Neuron Type</t>
  </si>
  <si>
    <t>Probability of Connection</t>
  </si>
  <si>
    <t>How the Computation Was Performed</t>
  </si>
  <si>
    <t>C26, C58 in pop_size_est_calc_internal tab</t>
  </si>
  <si>
    <t>A probability of connection was computed between MEC LII Stellate and CA3 Axo-Axonic cells by taking the number of inhibitory connections and dividing by the total number of inhibitory cells computed for the mouse in CA3. This assumes that all interneurons have an equal probability of connection.</t>
  </si>
  <si>
    <t>Basket</t>
  </si>
  <si>
    <t>A probability of connection was computed between MEC LII Stellate and CA3 Basket cells by taking the number of inhibitory connections and dividing by the total number of inhibitory cells computed for the mouse in CA3. This assumes that all interneurons have an equal probability of connection.</t>
  </si>
  <si>
    <t>Basket CCK+</t>
  </si>
  <si>
    <t>A probability of connection was computed between MEC LII Stellate and CA3 Basket CCK+ cells by taking the number of inhibitory connections and dividing by the total number of inhibitory cells computed for the mouse in CA3. This assumes that all interneurons have an equal probability of connection.</t>
  </si>
  <si>
    <t>LMR-Targeting</t>
  </si>
  <si>
    <t>A probability of connection was computed between MEC LII Stellate and CA3 LMR-Targeting cells by taking the number of inhibitory connections and dividing by the total number of inhibitory cells computed for the mouse in CA3. This assumes that all interneurons have an equal probability of connection.</t>
  </si>
  <si>
    <t>Pyramidal</t>
  </si>
  <si>
    <t>B26, B11 in pop_size_neuron_type_internal tab</t>
  </si>
  <si>
    <t>A probability of connection was computed between MEC LII Stellate and CA3 Pyramidal cells by taking the number of excitatory connections and dividing by the total number of pyramidal cells in the mouse for CA3.</t>
  </si>
  <si>
    <t>Connection probability of DG Granule to CA3 neuron types (assuming equal likelihood for DG connecting to interneurons):</t>
  </si>
  <si>
    <t>F14, F15, C58 in pop_size_neuron_type_internal tab</t>
  </si>
  <si>
    <t xml:space="preserve">A probability of connection was computed between DG Granule and CA3 Axo-Axonic cells by taking the number of inhibitory connections that could be formed through filopodial extensions and en passant boutons and dividing by the total number of inhibitory interneurons computed for the mouse in CA3. This assumes that all interneurons have an equal probability of connection. </t>
  </si>
  <si>
    <t xml:space="preserve">A probability of connection was computed between DG Granule and CA3 Basket cells by taking the number of inhibitory connections that could be formed through filopodial extensions and en passant boutons and dividing by the total number of inhibitory interneurons computed for the mouse in CA3. This assumes that all interneurons have an equal probability of connection. </t>
  </si>
  <si>
    <t xml:space="preserve">A probability of connection was computed between DG Granule and CA3 Basket CCK+ cells by taking the number of inhibitory connections that could be formed through filopodial extensions and en passant boutons and dividing by the total number of inhibitory interneurons computed for the mouse in CA3. This assumes that all interneurons have an equal probability of connection. </t>
  </si>
  <si>
    <t xml:space="preserve">A probability of connection was computed between DG Granule and CA3 Bistratified cells by taking the number of inhibitory connections that could be formed through filopodial extensions and en passant boutons and dividing by the total number of inhibitory interneurons computed for the mouse in CA3. This assumes that all interneurons have an equal probability of connection. </t>
  </si>
  <si>
    <t xml:space="preserve">A probability of connection was computed between DG Granule and CA3 Ivy cells by taking the number of inhibitory connections that could be formed through filopodial extensions and en passant boutons and dividing by the total number of inhibitory interneurons computed for the mouse in CA3. This assumes that all interneurons have an equal probability of connection. </t>
  </si>
  <si>
    <t xml:space="preserve">A probability of connection was computed between DG Granule and CA3 LMR-Targeting cells by taking the number of inhibitory connections that could be formed through filopodial extensions and en passant boutons and dividing by the total number of inhibitory interneurons computed for the mouse in CA3. This assumes that all interneurons have an equal probability of connection. </t>
  </si>
  <si>
    <t xml:space="preserve">A probability of connection was computed between DG Granule and CA3 QuaD-LM cells by taking the number of inhibitory connections that could be formed through filopodial extensions and en passant boutons and dividing by the total number of inhibitory interneurons computed for the mouse in CA3. This assumes that all interneurons have an equal probability of connection. </t>
  </si>
  <si>
    <t>MFA ORDEN</t>
  </si>
  <si>
    <t xml:space="preserve">A probability of connection was computed between DG Granule and CA3 MFA ORDEN cells by taking the number of inhibitory connections that could be formed through filopodial extensions and en passant boutons and dividing by the total number of inhibitory interneurons computed for the mouse in CA3. This assumes that all interneurons have an equal probability of connection. </t>
  </si>
  <si>
    <t>F12, F13, B11 in pop_size_neuron_type_internal tab</t>
  </si>
  <si>
    <t>A probability of connection was computed between DG Granule and CA3 Pyramidal cells by taking the number of excitatory connections formed through mossy fiber boutons and dividing by the total number of CA3 pyramidal cells computed for the mouse.</t>
  </si>
  <si>
    <t>Absolute Synaptic Conductance (A) between (pre-synaptic type) and (post-synaptic type)</t>
  </si>
  <si>
    <t>Activated fraction of resources released by (pre-synaptic type) to (post-synaptic type) (U)</t>
  </si>
  <si>
    <t>Release probability recovery time constant between (pre-synaptic type) and (post-synaptic type) (tau_rec) (ms)</t>
  </si>
  <si>
    <t>Release probability decay time constant between (pre-synaptic type) and (post-synaptic type) (tau_I) (ms)</t>
  </si>
  <si>
    <t>Resource release time constant between (pre-synaptic type) and (post-synaptic type) (tau_facil) (ms)</t>
  </si>
  <si>
    <t>Estimate Type</t>
  </si>
  <si>
    <t>Estimate Count</t>
  </si>
  <si>
    <t>Default Parameter List</t>
  </si>
  <si>
    <t>Count of Default Parameter Type</t>
  </si>
  <si>
    <t>Parameter value</t>
  </si>
  <si>
    <t>Related Notes on Parameter</t>
  </si>
  <si>
    <t>loggerMode</t>
  </si>
  <si>
    <t>USER</t>
  </si>
  <si>
    <t>Messages in simulation displayed to console</t>
  </si>
  <si>
    <t>ithGPU</t>
  </si>
  <si>
    <t>simulation specified to run on the first GPU</t>
  </si>
  <si>
    <t>randSeed</t>
  </si>
  <si>
    <t>simulation does not use a random seed</t>
  </si>
  <si>
    <t>tdAMPA</t>
  </si>
  <si>
    <t>AMPA decay time constant (ms)</t>
  </si>
  <si>
    <t>tdNMDA</t>
  </si>
  <si>
    <t>NMDA decay time constant (ms)</t>
  </si>
  <si>
    <t>tdGABAa</t>
  </si>
  <si>
    <t>GABAa decay time constant (ms)</t>
  </si>
  <si>
    <t>tdGABAb</t>
  </si>
  <si>
    <t>GABAb decay time constant (ms)</t>
  </si>
  <si>
    <t>trNMDA</t>
  </si>
  <si>
    <t>NMDA rise time constant (ms)</t>
  </si>
  <si>
    <t>trGABAb</t>
  </si>
  <si>
    <t>GABAb rise time constant (ms)</t>
  </si>
  <si>
    <t>y (spatial grid dimension)</t>
  </si>
  <si>
    <t>spatial grid not set up by default in y dimension</t>
  </si>
  <si>
    <t>z (spatial grid dimension)</t>
  </si>
  <si>
    <t>spatial grid not set up by default in z dimension</t>
  </si>
  <si>
    <t>preferredPartition</t>
  </si>
  <si>
    <t>ANY</t>
  </si>
  <si>
    <t>Creation of the group of neurons on the first (default) GPU</t>
  </si>
  <si>
    <t>preferredBackend</t>
  </si>
  <si>
    <t>GPU_CORES</t>
  </si>
  <si>
    <t>Processing unit type for the simulation where the group of neurons will be instantiated</t>
  </si>
  <si>
    <t>wt.min</t>
  </si>
  <si>
    <t>synapse maximum default weight</t>
  </si>
  <si>
    <t>wt.max</t>
  </si>
  <si>
    <t>synapse minimum default weight</t>
  </si>
  <si>
    <t>delay.min</t>
  </si>
  <si>
    <t>synaptic minimum delay (ms)</t>
  </si>
  <si>
    <t>delay.max</t>
  </si>
  <si>
    <t>synaptic maximum delay (ms)</t>
  </si>
  <si>
    <t>RadiusRF</t>
  </si>
  <si>
    <t>no receptive field set by default</t>
  </si>
  <si>
    <t>mulSynFast</t>
  </si>
  <si>
    <t>no multiplicative factor set by default for fast synaptic currents (AMPA and GABAa)</t>
  </si>
  <si>
    <t>mulSynSlow</t>
  </si>
  <si>
    <t>no multiplicative factor set by default for slow synaptic currents (AMPA and GABAb)</t>
  </si>
  <si>
    <t>STP_U</t>
  </si>
  <si>
    <t>0.45 or 0.15</t>
  </si>
  <si>
    <t>default increment of u induced by a spike for an excitatory or inhibitory group of neurons, respectively</t>
  </si>
  <si>
    <t>STP_tau_u</t>
  </si>
  <si>
    <t>50 or 750</t>
  </si>
  <si>
    <t>default facilitation decay time constant for an excitatory or inhibitory group of neurons, respectively (ms)</t>
  </si>
  <si>
    <t>STP_tau_x</t>
  </si>
  <si>
    <t>750 or 50</t>
  </si>
  <si>
    <t>default decay time constant of depression for an excitatory or inhibitory group of neurons, respectively (ms)</t>
  </si>
  <si>
    <t>filename</t>
  </si>
  <si>
    <t>"Default"</t>
  </si>
  <si>
    <t>default file directory to store spike time data for a group of neurons</t>
  </si>
  <si>
    <t>SpikeMonMode</t>
  </si>
  <si>
    <t>AER</t>
  </si>
  <si>
    <t>default mode is to collect exact spike times for each individual neuron in a group</t>
  </si>
  <si>
    <t>onGPU</t>
  </si>
  <si>
    <t>allocation of Poisson rates for a group of neurons assigned to CPU by default</t>
  </si>
  <si>
    <t>rate</t>
  </si>
  <si>
    <t>mean firing rates following the Poisson process set to zero by default</t>
  </si>
  <si>
    <t>refPeriod</t>
  </si>
  <si>
    <t>default refractory period set to 1 ms by default</t>
  </si>
  <si>
    <t>Gold, Accent 4, Lighter 80%</t>
  </si>
  <si>
    <t>CARLsim4 physiological parameters with parallel to SNN framework</t>
  </si>
  <si>
    <t>Gold, Accent 4, Lighter 40%</t>
  </si>
  <si>
    <t>CARLsim4 service parameters</t>
  </si>
  <si>
    <t>Gold, Accent 4</t>
  </si>
  <si>
    <t>Poisson Firing Rate (External; Hz)</t>
  </si>
  <si>
    <t xml:space="preserve">Reference </t>
  </si>
  <si>
    <t xml:space="preserve">Location of Activity in Reference </t>
  </si>
  <si>
    <r>
      <t xml:space="preserve">Hsiao YT, Zheng C, Colgin LL. Slow gamma rhythms in CA3 are entrained by slow gamma activity in the dentate gyrus. </t>
    </r>
    <r>
      <rPr>
        <i/>
        <sz val="11"/>
        <color theme="1"/>
        <rFont val="Calibri"/>
        <family val="2"/>
        <scheme val="minor"/>
      </rPr>
      <t xml:space="preserve">J Neurophysiol. 116(6):2594-2603; </t>
    </r>
    <r>
      <rPr>
        <sz val="11"/>
        <color theme="1"/>
        <rFont val="Calibri"/>
        <family val="2"/>
        <scheme val="minor"/>
      </rPr>
      <t>2016.</t>
    </r>
  </si>
  <si>
    <t>https://www.ncbi.nlm.nih.gov/pmc/articles/PMC5133296/</t>
  </si>
  <si>
    <t>Measured Rhythm</t>
  </si>
  <si>
    <t>Slow gamma (~25-55 Hz)</t>
  </si>
  <si>
    <t>Magnitude of DG gamma rhythms appeared larger than the magnitude of simulateneously recorded CA3 gamma rhythms. Additionally, fast gamma rhythms were not apparent in either DG or CA3 recordings. Assumption is to use higher end of slow gamma for DG input.</t>
  </si>
  <si>
    <t>Rhythm to be used in SNN (Hz)</t>
  </si>
  <si>
    <t>Granule and Stellate Cell Firing Rate References</t>
  </si>
  <si>
    <r>
      <t xml:space="preserve">Zheng C, Bieri KW, Trettel SG, Colgin LL. The relationship between gamma frequency and running speed differs for slow and fast gamma rhythms in freely behaving rats. </t>
    </r>
    <r>
      <rPr>
        <i/>
        <sz val="11"/>
        <color theme="1"/>
        <rFont val="Calibri"/>
        <family val="2"/>
        <scheme val="minor"/>
      </rPr>
      <t xml:space="preserve">Hippocampus 25(8):924-938; </t>
    </r>
    <r>
      <rPr>
        <sz val="11"/>
        <color theme="1"/>
        <rFont val="Calibri"/>
        <family val="2"/>
        <scheme val="minor"/>
      </rPr>
      <t>2015.</t>
    </r>
  </si>
  <si>
    <t>Assumption comes from the discussion section in that DG slow gamma reflects a network state in which MEC input to the hippocampus is relatively weak. This is backed up the fact that little to no slow gamma is apparent in superficial layers of MEC when rats run at low speeds, speeds where slow gamma occurs in CA3 and CA1.</t>
  </si>
  <si>
    <t>https://www.ncbi.nlm.nih.gov/pmc/articles/PMC4499477/</t>
  </si>
  <si>
    <t>Slow gamma (~25-55 Hz) seen at lower running speeds, Fast gamma (~60-100 Hz) seen at higher running speeds</t>
  </si>
  <si>
    <t>Results section, first paragraph and Figure 1a,b,c (in section Tetrode placement)</t>
  </si>
  <si>
    <t>Results section, first paragraph and Figure 1a,b (in section Tetrode placement)</t>
  </si>
  <si>
    <t>Poisson Firing Rates (External)</t>
  </si>
  <si>
    <t>Poisson Firing Rate Refractory Period (ms)</t>
  </si>
  <si>
    <t>Poisson Firing Rate Parameters (External)</t>
  </si>
  <si>
    <t>Single-Compartment IM Parameters (Internal)</t>
  </si>
  <si>
    <t>wt.init</t>
  </si>
  <si>
    <t>synase initial default weight</t>
  </si>
  <si>
    <t>Gold, Accent 4, Darker 25%</t>
  </si>
  <si>
    <t>Summary of Parameter Estimates</t>
  </si>
  <si>
    <t>CA3 Axo-Axonic (mean)</t>
  </si>
  <si>
    <t>CA3 Basket (mean)</t>
  </si>
  <si>
    <t>CA3 BC CCK+ (mean)</t>
  </si>
  <si>
    <t>CA3 Bistratified (mean)</t>
  </si>
  <si>
    <t>CA3 Ivy (mean)</t>
  </si>
  <si>
    <t>CA3 LMR-Targeting (mean)</t>
  </si>
  <si>
    <t>CA3 MFA ORDEN (mean)</t>
  </si>
  <si>
    <t>CA3 Pyramidal (mean)</t>
  </si>
  <si>
    <t>CA3 Axo-Axonic (std)</t>
  </si>
  <si>
    <t>CA3 Basket (std)</t>
  </si>
  <si>
    <t>CA3 BC CCK+ (std)</t>
  </si>
  <si>
    <t>CA3 Bistratified (std)</t>
  </si>
  <si>
    <t>CA3 Ivy (std)</t>
  </si>
  <si>
    <t>CA3 LMR-Targeting (std)</t>
  </si>
  <si>
    <t>CA3 MFA ORDEN (std)</t>
  </si>
  <si>
    <t>CA3 Pyramidal (std)</t>
  </si>
  <si>
    <t>Physiological parameters that currently have no parallel to SNN framework, and will not in the future</t>
  </si>
  <si>
    <t>fractionPoisson</t>
  </si>
  <si>
    <t>fraction of neurons in a group that fire based off a Poisson process with non-zero firing rate</t>
  </si>
  <si>
    <t xml:space="preserve">Parameter estimates for a spiking neural network model (SNN) utilizing 12 neuron types (10 in the local circuit, 2 as inputs) in the mouse hippocampus have been provided using a system of provenance within this document. We have estimated that 1230 total parameters will be needed to define the SNN (Parameter PDF Summary CA3_net tab; C7); of the 1230 estimates, 196 + 94 + 132 = 422 currently can be specified within the CARLsim4 simulation environment. This comes from the sum of the 2-parameter PDF neuron super-family parameters (Parameter PDF Summary CA3_net tab; B63:C66), and the connection probability (Parameter PDF Summary CA3_net tab; E12:F13) and Tsodyks-Markram (TM) parameters of the synaptic parameter super-family. TM involves the use of five parameters: one is assigned at the connection level, one at the simulation level, and three at the pre-synaptic group (CARLsim4 equivalent of neuron type) level. With how TM is currently defined, 94 + 2 + 3*12 = 132 of the (94*10) 940 2-parameter PDF TM parameters (Parameter PDF Summary CA3_net tab; E65:F74) can be specified in CARLsim4 -- all 132 use the CARLsim4 default value, so this means 132 of the 472 total CARLsim4 default parameters (Parameter PDF Summary CA3_net tab; C6) are being used for TM. The CARLsim4 function that sets short-term plasticity (STP) via TM currently takes 5 inputs, one of which is the pre-synaptic group, another a service parameter, and three TM parameters (U, tau_rec, tau_facil) -- this is where the (3*12) default parameters come from. Next, tau_I is defined for all connection types through the setConductances function, which takes 4 parameters (AMPA, NMDA, GABAa, and GABAb decay constants). However, TM creates a decay time constant for post-synaptic receptors based on multiple receptor types, so currently we are using just (2) of the decay time constants, AMPA and GABAa, depending on if the neuron type is excitatory or inhibitory. Weights (A; absolute synaptic conductances) are defined through the weight struct RangeWeight which is defined for each of the (94) connection types. Additionally, the refractory period for the mean firing rates that are defined by an inhomogeneous Poisson process uses the default for the (2) input groups. So 132 + 2 = 134 of the 472 CARLsim4 default parameters are utilized, and overall 808 of the 1230 cannot be specified within the CARLsim4 simulation environment. 
We are working with the CARLsim4 team to address this issue of TM assignment, which will allow all 472 of these default parameters and all TM parameter estimates to be assigned for connection types, rather than for pre-synaptic group types. This will allow for all 1230 parameter estimates to be specified within the simulation environment. Additionally, we will have better estimates for population size and TM parameters in the future which will be used in place of the current coarse estimates and default CARLsim4 STP parameters.
</t>
  </si>
  <si>
    <t>https://www.biorxiv.org/content/10.1101/632430v1.full</t>
  </si>
  <si>
    <t>https://www.frontiersin.org/articles/10.3389/fninf.2018.00008/full</t>
  </si>
  <si>
    <t>https://www.izhikevich.org/publications/spikes.pdf</t>
  </si>
  <si>
    <t>Evolutionary algorithms</t>
  </si>
  <si>
    <r>
      <t xml:space="preserve">Izhikevich EM. Dynamical Systems in Neuroscience. </t>
    </r>
    <r>
      <rPr>
        <i/>
        <sz val="11"/>
        <color theme="1"/>
        <rFont val="Calibri"/>
        <family val="2"/>
        <scheme val="minor"/>
      </rPr>
      <t xml:space="preserve">Cambridge, MA: MIT Press; </t>
    </r>
    <r>
      <rPr>
        <sz val="11"/>
        <color theme="1"/>
        <rFont val="Calibri"/>
        <family val="2"/>
        <scheme val="minor"/>
      </rPr>
      <t>2007.</t>
    </r>
  </si>
  <si>
    <t>Evolutionary algorithms that preserved the best individuals (i.e. those that minimized the feature-based error function) were utilized to find 9-parameter Izhikevich Models for 9 neuron types in Hippocampome.org. Intervals to find these best fit parameters were chosen from a biophysically reasonable range seen in the literature found on Hippocampome.org.</t>
  </si>
  <si>
    <t>Evolutionary algorithms that preserved the best individuals (i.e. those that minimized the feature-based error function) were utilized to find 9-parameter Izhikevich Models for 70 neuron types in Hippocampome.org. Intervals to find these best fit parameters were chosen from a biophysically reasonable range seen in the literature found on Hippocampome.org.</t>
  </si>
  <si>
    <t>B44:J63</t>
  </si>
  <si>
    <t>Averages for each column were computed using Excel's AVERAGE function</t>
  </si>
  <si>
    <t>Standard Deviations for each column were computed using Excel's STDEV function</t>
  </si>
  <si>
    <t>B70:J89</t>
  </si>
  <si>
    <t>B97:J116</t>
  </si>
  <si>
    <t>B124:J143</t>
  </si>
  <si>
    <t>B151:J170</t>
  </si>
  <si>
    <t>The computation was performed to produce a mean for the main firing pattern phenotype of the CA3 Basket CCK neuron type. The IM parameters with the 20 best fitness (minimized error) values were utilized of 183 trials performed that fit the main firing pattern phenotype class constraints.</t>
  </si>
  <si>
    <t>The computation was performed to produce a standard deviation for the main firing pattern phenotype of the CA3 Basket CCK neuron type. The IM parameters with the 20 best fitness (minimized error) values were utilized of 183 trials performed that fit the main firing pattern phenotype class constraints.</t>
  </si>
  <si>
    <t>The computation was performed to produce a mean for the main firing pattern phenotype of the CA3 Basket neuron type. The IM parameters with the 20 best fitness (minimized error) values were utilized of 140 trials performed that fit the main firing pattern phenotype class constraints.</t>
  </si>
  <si>
    <t>The computation was performed to produce a standard deviation for the main firing pattern phenotype of the CA3 Basket neuron type. The IM parameters with the 20 best fitness (minimized error) values were utilized of 140 trials performed that fit the main firing pattern phenotype class constraints.</t>
  </si>
  <si>
    <t>The computation was performed to produce a mean for the main firing pattern phenotype of the CA3 Axo-Axonic neuron type. The IM parameters with the 20 best fitness (minimized error) values were utilized of 101 trials performed that fit the main firing pattern phenotype class constraints.</t>
  </si>
  <si>
    <t>The computation was performed to produce a standard deviation for the main firing pattern phenotype of the CA3 Axo-Axonic neuron type. The IM parameters with the 20 best fitness (minimized error) values were utilized of 101 trials performed that fit the main firing pattern phenotype class constraints.</t>
  </si>
  <si>
    <t>The computation was performed to produce a mean for the main firing pattern phenotype of the CA3 LMR-Targeting neuron type. The IM parameters with the 20 best fitness (minimized error) values were utilized of 200 trials performed that fit the main firing pattern phenotype class constraints.</t>
  </si>
  <si>
    <t>The computation was performed to produce a standard deviation for the main firing pattern phenotype of the CA3 LMR-Targeting neuron type. The IM parameters with the 20 best fitness (minimized error) values were utilized of 200 trials performed that fit the main firing pattern phenotype class constraints.</t>
  </si>
  <si>
    <t>The computation was performed to produce a mean for the main firing pattern phenotype of the CA3 Pyramidal neuron type. The IM parameters with the 20 best fitness (minimized error) values were utilized of 1000 trials performed that fit the main firing pattern phenotype class constraints.</t>
  </si>
  <si>
    <t>The computation was performed to produce a standard deviation for the main firing pattern phenotype of the CA3 Pyramidal neuron type. The IM parameters with the 20 best fitness (minimized error) values were utilized of 1000 trials performed that fit the main firing pattern phenotype class constraints.</t>
  </si>
  <si>
    <t>B178:J197</t>
  </si>
  <si>
    <t>The computation was performed to produce a mean for the main firing pattern phenotype of the CA3 Trilaminar neuron type. The IM parameters with the 20 best fitness (minimized error) values were utilized of 200 trials performed that fit the main firing pattern phenotype class constraints.</t>
  </si>
  <si>
    <t>The computation was performed to produce a standard deviation for the main firing pattern phenotype of the CA3 Trilaminar neuron type. The IM parameters with the 20 best fitness (minimized error) values were utilized of 200 trials performed that fit the main firing pattern phenotype class constraints.</t>
  </si>
  <si>
    <t>B205:J214</t>
  </si>
  <si>
    <t>The computation was performed to produce a mean for the main firing pattern phenotype of the CA3 MFA ORDEN neuron type. The IM parameters with the 10 best fitness (minimized error) values were utilized of 101 trials performed that fit the main firing pattern phenotype class constraints.</t>
  </si>
  <si>
    <t>The computation was performed to produce a standard deviation for the main firing pattern phenotype of the CA3 MFA ORDEN neuron type. The IM parameters with the 10 best fitness (minimized error) values were utilized of 101 trials performed that fit the main firing pattern phenotype class constraints.</t>
  </si>
  <si>
    <t>CA3 Izhikevich Parameter PDF Estimate References</t>
  </si>
  <si>
    <t>Physiological parameters that currently have no parallel to SNN framework, but might in the future</t>
  </si>
  <si>
    <t>Estimates inferred from related data</t>
  </si>
  <si>
    <t>Estimate Level 1</t>
  </si>
  <si>
    <t>Estimate Level 2</t>
  </si>
  <si>
    <t>Estimate Level 3</t>
  </si>
  <si>
    <t>Estimate Level 4</t>
  </si>
  <si>
    <t>Estimate Level 5</t>
  </si>
  <si>
    <t>Example: The AMPA decay time constant (tdAMPA) has a direct parallel to our framework, as it is currently used as the tau_I for excitatory neuron types</t>
  </si>
  <si>
    <t>Example: Messages that are displayed to the terminal are governed by the loggerMode</t>
  </si>
  <si>
    <t xml:space="preserve">Example: the rise time constant for NMDA (trNMDA) has no current parallel to our framework, but we may implement it in the future in our framework </t>
  </si>
  <si>
    <t>Example: there are no receptive fields in CA3, so RadiusRF has no parallel and never will with our framework</t>
  </si>
  <si>
    <t>Estimate Example</t>
  </si>
  <si>
    <t xml:space="preserve">The IM parameter k_mean for the CA3 Bistratified neuron type adopts the value from the CA1 Bistratified neuron type </t>
  </si>
  <si>
    <t xml:space="preserve">We currently do not have an estimate for the absolute synaptic conductance for the CA3 Pyramidal/CA3 Axo-Axonic synapse type, so we use the default conductance for synapse types in CARLsim4 </t>
  </si>
  <si>
    <t xml:space="preserve">The probability of connection between the CA3 Pyramidal/CA3 Axo-Axonic synapse type is computed using experimental measurements from both neuron types </t>
  </si>
  <si>
    <t>The population size for LMR-Targeting cells is computed from multiplying the numerical density of GABAergic neurons in SLM by the volume of SLM, and then uses the assumption that it is the only cell type of SLM. Therefore its population size is the GABAergic population size of SLM.</t>
  </si>
  <si>
    <t>We currently do not have an estimate for the probability of connection of the CA3 Axo-Axonic/CA3 pyramidal synapse type, so we have used a value that reflects a high probability (relative to other synapse types in our reduced network) of connection since Axo-Axonic neurons only contact Pyramidal neurons</t>
  </si>
  <si>
    <t>total internal</t>
  </si>
  <si>
    <t>total external</t>
  </si>
  <si>
    <t>Total Synapses by Neuron Type (Framework)</t>
  </si>
  <si>
    <t>internal+external</t>
  </si>
  <si>
    <t>Total Synapses by Neuron Type (CARLsim4; rand seed 42)</t>
  </si>
  <si>
    <t>Total Synapses by Neuron Type (CARLsim4; rand seed 25)</t>
  </si>
  <si>
    <t>Population Size (Linearly Scaled)</t>
  </si>
  <si>
    <t>Population Size (Power Law Scaled)</t>
  </si>
  <si>
    <t>Pre-Post (Sqrt Scaling Scheme)</t>
  </si>
  <si>
    <t>Pre-Post (Power Law Scaling Scheme)</t>
  </si>
  <si>
    <t xml:space="preserve">The LMRT population size was computed from a sum of population size estimates of the neuron type in each of the layer(s) that its somata appear in according to Ref #19 (see C48 for link, and D62:D66 for layer specific population size estimates for the neuron types). Additionally, given the small population size, I multiplied this count by a factor of 5, with the assumption that there are probably more than 1000 LMR-T neurons in SLM based on BBA inhibitory interneuron bilateral size in SLM of 1757 +- 1302 </t>
  </si>
  <si>
    <t>The Ivy population size was computed from a sum of population size estimates of the neuron type in each of the layer(s) that its somata appear in according to Ref #19 (see C48 for link, and D62:D66 for layer specific population size estimates for the neuron types). Additionally, given the population sizes of Ivy cells in CA1 in Bezaire and Soltesz, it may be true that Ivy cells are much more abundant in CA3 as well than what current evidence suggests. Therefore we multiply the calculated population size by a factor of 100.</t>
  </si>
  <si>
    <t>D62</t>
  </si>
  <si>
    <t>Total Synapses</t>
  </si>
  <si>
    <t>Ratio</t>
  </si>
  <si>
    <t>Assumption that EC projection cells target 92% pyramidal cells in SLM (adopted from CA1)</t>
  </si>
  <si>
    <t>Assumption that EC projection cells target 8% interneurons in SLM (adopted from CA1)</t>
  </si>
  <si>
    <r>
      <t xml:space="preserve">Estimate obtained from the assumption that Stellate cells have 1 bouton/ 15 </t>
    </r>
    <r>
      <rPr>
        <sz val="11"/>
        <color theme="1"/>
        <rFont val="Calibri"/>
        <family val="2"/>
      </rPr>
      <t>μm</t>
    </r>
    <r>
      <rPr>
        <sz val="11"/>
        <color theme="1"/>
        <rFont val="Calibri"/>
        <family val="2"/>
        <scheme val="minor"/>
      </rPr>
      <t xml:space="preserve"> (adapted from mean bouton densities of third and fourth order branching segments which contain most of the axonal length (13.56 boutons/100 </t>
    </r>
    <r>
      <rPr>
        <sz val="11"/>
        <color theme="1"/>
        <rFont val="Calibri"/>
        <family val="2"/>
      </rPr>
      <t>μm)</t>
    </r>
  </si>
  <si>
    <t>Population Size</t>
  </si>
  <si>
    <t>CA3 QuadD-LM</t>
  </si>
  <si>
    <t>CA3 QuadD-LM (mean)</t>
  </si>
  <si>
    <t>CA3 QuadD-LM (std)</t>
  </si>
  <si>
    <t>Multiplier</t>
  </si>
  <si>
    <t>U</t>
  </si>
  <si>
    <t>tau_rec</t>
  </si>
  <si>
    <t>tau_facil</t>
  </si>
  <si>
    <t>tau_d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</si>
</sst>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0000000"/>
  </numFmts>
  <fonts count="14" x14ac:knownFonts="1">
    <font>
      <sz val="11"/>
      <color theme="1"/>
      <name val="Calibri"/>
      <family val="2"/>
      <scheme val="minor"/>
    </font>
    <font>
      <b/>
      <sz val="12"/>
      <color theme="4"/>
      <name val="Calibri"/>
      <family val="2"/>
      <scheme val="minor"/>
    </font>
    <font>
      <b/>
      <sz val="12"/>
      <color rgb="FF00B050"/>
      <name val="Calibri"/>
      <family val="2"/>
      <scheme val="minor"/>
    </font>
    <font>
      <b/>
      <sz val="12"/>
      <name val="Calibri"/>
      <family val="2"/>
      <scheme val="minor"/>
    </font>
    <font>
      <b/>
      <sz val="12"/>
      <color rgb="FFFF0000"/>
      <name val="Calibri"/>
      <family val="2"/>
      <scheme val="minor"/>
    </font>
    <font>
      <sz val="12"/>
      <name val="Calibri"/>
      <family val="2"/>
      <scheme val="minor"/>
    </font>
    <font>
      <sz val="11"/>
      <color rgb="FF000000"/>
      <name val="Calibri"/>
      <family val="2"/>
      <scheme val="minor"/>
    </font>
    <font>
      <b/>
      <sz val="14"/>
      <name val="Calibri"/>
      <family val="2"/>
      <scheme val="minor"/>
    </font>
    <font>
      <sz val="1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sz val="11"/>
      <color theme="1"/>
      <name val="Calibri"/>
      <family val="2"/>
    </font>
    <font>
      <sz val="11"/>
      <color theme="1"/>
      <name val="Calibri"/>
      <family val="2"/>
      <scheme val="minor"/>
    </font>
  </fonts>
  <fills count="14">
    <fill>
      <patternFill patternType="none"/>
    </fill>
    <fill>
      <patternFill patternType="gray125"/>
    </fill>
    <fill>
      <patternFill patternType="solid">
        <fgColor rgb="FF00B0F0"/>
        <bgColor indexed="64"/>
      </patternFill>
    </fill>
    <fill>
      <patternFill patternType="solid">
        <fgColor rgb="FF000000"/>
        <bgColor indexed="64"/>
      </patternFill>
    </fill>
    <fill>
      <patternFill patternType="solid">
        <fgColor rgb="FF00B050"/>
        <bgColor indexed="64"/>
      </patternFill>
    </fill>
    <fill>
      <patternFill patternType="solid">
        <fgColor theme="1"/>
        <bgColor indexed="64"/>
      </patternFill>
    </fill>
    <fill>
      <patternFill patternType="solid">
        <fgColor rgb="FFFFFF00"/>
        <bgColor indexed="64"/>
      </patternFill>
    </fill>
    <fill>
      <patternFill patternType="solid">
        <fgColor theme="7" tint="0.39997558519241921"/>
        <bgColor indexed="64"/>
      </patternFill>
    </fill>
    <fill>
      <patternFill patternType="solid">
        <fgColor theme="7"/>
        <bgColor indexed="64"/>
      </patternFill>
    </fill>
    <fill>
      <patternFill patternType="solid">
        <fgColor theme="7" tint="0.79995117038483843"/>
        <bgColor indexed="64"/>
      </patternFill>
    </fill>
    <fill>
      <patternFill patternType="solid">
        <fgColor theme="7" tint="-0.24994659260841701"/>
        <bgColor indexed="64"/>
      </patternFill>
    </fill>
    <fill>
      <patternFill patternType="solid">
        <fgColor rgb="FFFF0000"/>
        <bgColor indexed="64"/>
      </patternFill>
    </fill>
    <fill>
      <patternFill patternType="solid">
        <fgColor theme="5"/>
        <bgColor indexed="64"/>
      </patternFill>
    </fill>
    <fill>
      <patternFill patternType="solid">
        <fgColor theme="5" tint="-0.249977111117893"/>
        <bgColor indexed="64"/>
      </patternFill>
    </fill>
  </fills>
  <borders count="19">
    <border>
      <left/>
      <right/>
      <top/>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style="medium">
        <color indexed="64"/>
      </right>
      <top/>
      <bottom/>
      <diagonal/>
    </border>
    <border>
      <left style="thick">
        <color auto="1"/>
      </left>
      <right style="thick">
        <color auto="1"/>
      </right>
      <top style="thick">
        <color auto="1"/>
      </top>
      <bottom style="thick">
        <color auto="1"/>
      </bottom>
      <diagonal/>
    </border>
    <border>
      <left style="thin">
        <color rgb="FF000000"/>
      </left>
      <right style="thin">
        <color rgb="FF000000"/>
      </right>
      <top/>
      <bottom style="thin">
        <color rgb="FF000000"/>
      </bottom>
      <diagonal/>
    </border>
    <border>
      <left style="thin">
        <color theme="0"/>
      </left>
      <right style="thin">
        <color theme="0"/>
      </right>
      <top style="thin">
        <color theme="0"/>
      </top>
      <bottom style="thin">
        <color theme="0"/>
      </bottom>
      <diagonal/>
    </border>
    <border>
      <left style="thin">
        <color indexed="64"/>
      </left>
      <right/>
      <top style="thin">
        <color indexed="64"/>
      </top>
      <bottom style="thin">
        <color indexed="64"/>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s>
  <cellStyleXfs count="2">
    <xf numFmtId="0" fontId="0" fillId="0" borderId="0"/>
    <xf numFmtId="0" fontId="11" fillId="0" borderId="0" applyNumberFormat="0" applyFill="0" applyBorder="0" applyAlignment="0" applyProtection="0"/>
  </cellStyleXfs>
  <cellXfs count="128">
    <xf numFmtId="0" fontId="0" fillId="0" borderId="0" xfId="0"/>
    <xf numFmtId="3" fontId="0" fillId="0" borderId="0" xfId="0" applyNumberFormat="1"/>
    <xf numFmtId="164" fontId="3" fillId="0" borderId="0" xfId="0" quotePrefix="1" applyNumberFormat="1" applyFont="1" applyAlignment="1">
      <alignment horizontal="center" vertical="center"/>
    </xf>
    <xf numFmtId="164" fontId="1" fillId="0" borderId="1" xfId="0" quotePrefix="1" applyNumberFormat="1" applyFont="1" applyBorder="1" applyAlignment="1">
      <alignment horizontal="center" vertical="center"/>
    </xf>
    <xf numFmtId="164" fontId="1" fillId="0" borderId="0" xfId="0" applyNumberFormat="1" applyFont="1" applyAlignment="1">
      <alignment horizontal="center" vertical="center"/>
    </xf>
    <xf numFmtId="164" fontId="1" fillId="0" borderId="2" xfId="0" quotePrefix="1" applyNumberFormat="1" applyFont="1" applyBorder="1" applyAlignment="1">
      <alignment horizontal="center" vertical="center"/>
    </xf>
    <xf numFmtId="164" fontId="1" fillId="0" borderId="2" xfId="0" applyNumberFormat="1" applyFont="1" applyBorder="1" applyAlignment="1">
      <alignment horizontal="center" vertical="center"/>
    </xf>
    <xf numFmtId="164" fontId="4" fillId="0" borderId="2" xfId="0" applyNumberFormat="1" applyFont="1" applyBorder="1" applyAlignment="1">
      <alignment horizontal="center" vertical="center"/>
    </xf>
    <xf numFmtId="0" fontId="0" fillId="0" borderId="3" xfId="0" applyBorder="1" applyAlignment="1">
      <alignment horizontal="center" vertical="center"/>
    </xf>
    <xf numFmtId="0" fontId="0" fillId="0" borderId="0" xfId="0" applyAlignment="1">
      <alignment horizontal="center" vertical="center"/>
    </xf>
    <xf numFmtId="3" fontId="0" fillId="0" borderId="0" xfId="0" applyNumberFormat="1" applyAlignment="1">
      <alignment horizontal="center" vertical="center"/>
    </xf>
    <xf numFmtId="0" fontId="7" fillId="0" borderId="3" xfId="0" applyFont="1" applyBorder="1" applyAlignment="1">
      <alignment horizontal="center" vertical="center" wrapText="1"/>
    </xf>
    <xf numFmtId="0" fontId="5" fillId="0" borderId="4" xfId="0" applyFont="1" applyBorder="1" applyAlignment="1">
      <alignment horizontal="center" vertical="center"/>
    </xf>
    <xf numFmtId="0" fontId="7" fillId="0" borderId="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6" xfId="0" applyFont="1" applyBorder="1" applyAlignment="1">
      <alignment horizontal="center" vertical="center" wrapText="1"/>
    </xf>
    <xf numFmtId="0" fontId="7" fillId="0" borderId="7" xfId="0" applyFont="1" applyBorder="1" applyAlignment="1">
      <alignment horizontal="center" vertical="center" wrapText="1"/>
    </xf>
    <xf numFmtId="164" fontId="2" fillId="0" borderId="2" xfId="0" quotePrefix="1" applyNumberFormat="1" applyFont="1" applyBorder="1" applyAlignment="1">
      <alignment horizontal="center" vertical="center"/>
    </xf>
    <xf numFmtId="0" fontId="8" fillId="0" borderId="3" xfId="0" applyFont="1" applyBorder="1" applyAlignment="1">
      <alignment horizontal="center" vertical="center"/>
    </xf>
    <xf numFmtId="0" fontId="0" fillId="0" borderId="0" xfId="0" applyAlignment="1">
      <alignment horizontal="center" vertical="center" wrapText="1"/>
    </xf>
    <xf numFmtId="164" fontId="2" fillId="0" borderId="9" xfId="0" quotePrefix="1" applyNumberFormat="1" applyFont="1" applyBorder="1" applyAlignment="1">
      <alignment horizontal="center" vertical="center"/>
    </xf>
    <xf numFmtId="164" fontId="1" fillId="0" borderId="9" xfId="0" quotePrefix="1" applyNumberFormat="1" applyFont="1" applyBorder="1" applyAlignment="1">
      <alignment horizontal="center" vertical="center"/>
    </xf>
    <xf numFmtId="164" fontId="4" fillId="0" borderId="9" xfId="0" applyNumberFormat="1" applyFont="1" applyBorder="1" applyAlignment="1">
      <alignment horizontal="center" vertical="center"/>
    </xf>
    <xf numFmtId="0" fontId="9" fillId="0" borderId="0" xfId="0" applyFont="1" applyAlignment="1">
      <alignment horizontal="center" vertical="center" wrapText="1"/>
    </xf>
    <xf numFmtId="9" fontId="0" fillId="0" borderId="0" xfId="0" applyNumberFormat="1" applyAlignment="1">
      <alignment horizontal="center" vertical="center"/>
    </xf>
    <xf numFmtId="10" fontId="0" fillId="0" borderId="0" xfId="0" applyNumberFormat="1" applyAlignment="1">
      <alignment horizontal="center" vertical="center"/>
    </xf>
    <xf numFmtId="0" fontId="6" fillId="2" borderId="4" xfId="0" applyFont="1" applyFill="1" applyBorder="1" applyAlignment="1">
      <alignment horizontal="center" vertical="center" wrapText="1"/>
    </xf>
    <xf numFmtId="0" fontId="11" fillId="0" borderId="0" xfId="1" applyAlignment="1">
      <alignment horizontal="center" vertical="center" wrapText="1"/>
    </xf>
    <xf numFmtId="0" fontId="6" fillId="0" borderId="0" xfId="1" applyFont="1" applyAlignment="1">
      <alignment horizontal="center" vertical="center" wrapText="1"/>
    </xf>
    <xf numFmtId="3" fontId="0" fillId="0" borderId="0" xfId="0" applyNumberFormat="1" applyAlignment="1">
      <alignment horizontal="center" vertical="center" wrapText="1"/>
    </xf>
    <xf numFmtId="0" fontId="0" fillId="0" borderId="3" xfId="0" applyBorder="1" applyAlignment="1">
      <alignment horizontal="center" vertical="center" wrapText="1"/>
    </xf>
    <xf numFmtId="0" fontId="9" fillId="0" borderId="0" xfId="0" applyFont="1" applyAlignment="1">
      <alignment horizontal="center" vertical="center"/>
    </xf>
    <xf numFmtId="0" fontId="11" fillId="0" borderId="0" xfId="1" applyAlignment="1">
      <alignment horizontal="center" vertical="center"/>
    </xf>
    <xf numFmtId="11" fontId="0" fillId="0" borderId="0" xfId="0" applyNumberFormat="1"/>
    <xf numFmtId="0" fontId="9" fillId="0" borderId="3" xfId="0" applyFont="1" applyBorder="1" applyAlignment="1">
      <alignment horizontal="center" vertical="center"/>
    </xf>
    <xf numFmtId="0" fontId="8" fillId="0" borderId="0" xfId="1" applyFont="1" applyAlignment="1">
      <alignment horizontal="center" vertical="center" wrapText="1"/>
    </xf>
    <xf numFmtId="3" fontId="0" fillId="0" borderId="3" xfId="0" applyNumberFormat="1" applyBorder="1" applyAlignment="1">
      <alignment horizontal="center" vertical="center"/>
    </xf>
    <xf numFmtId="0" fontId="7" fillId="0" borderId="10" xfId="0" applyFont="1" applyBorder="1" applyAlignment="1">
      <alignment horizontal="center" vertical="center" wrapText="1"/>
    </xf>
    <xf numFmtId="0" fontId="0" fillId="0" borderId="10" xfId="0" applyBorder="1" applyAlignment="1">
      <alignment horizontal="center" vertical="center"/>
    </xf>
    <xf numFmtId="0" fontId="0" fillId="0" borderId="10" xfId="0" applyBorder="1" applyAlignment="1">
      <alignment horizontal="center" vertical="center" wrapText="1"/>
    </xf>
    <xf numFmtId="0" fontId="9" fillId="0" borderId="4" xfId="0" applyFont="1" applyBorder="1" applyAlignment="1">
      <alignment horizontal="center" vertical="center"/>
    </xf>
    <xf numFmtId="0" fontId="9" fillId="0" borderId="4" xfId="0" applyFont="1" applyBorder="1" applyAlignment="1">
      <alignment horizontal="center" vertical="center" wrapText="1"/>
    </xf>
    <xf numFmtId="0" fontId="0" fillId="0" borderId="0" xfId="0" applyAlignment="1">
      <alignment wrapText="1"/>
    </xf>
    <xf numFmtId="3" fontId="0" fillId="0" borderId="10" xfId="0" applyNumberFormat="1" applyBorder="1" applyAlignment="1">
      <alignment horizontal="center" vertical="center"/>
    </xf>
    <xf numFmtId="0" fontId="9" fillId="0" borderId="3" xfId="0" applyFont="1" applyBorder="1" applyAlignment="1">
      <alignment horizontal="center" vertical="center" wrapText="1"/>
    </xf>
    <xf numFmtId="0" fontId="0" fillId="0" borderId="3" xfId="0" applyBorder="1" applyAlignment="1">
      <alignment wrapText="1"/>
    </xf>
    <xf numFmtId="0" fontId="0" fillId="0" borderId="4" xfId="0" applyBorder="1" applyAlignment="1">
      <alignment horizontal="center" vertical="center" wrapText="1"/>
    </xf>
    <xf numFmtId="0" fontId="8" fillId="0" borderId="3" xfId="0" applyFont="1" applyBorder="1" applyAlignment="1">
      <alignment horizontal="center" vertical="center" wrapText="1"/>
    </xf>
    <xf numFmtId="0" fontId="7" fillId="0" borderId="8" xfId="0" applyFont="1" applyBorder="1" applyAlignment="1">
      <alignment horizontal="center" vertical="center" wrapText="1"/>
    </xf>
    <xf numFmtId="0" fontId="7" fillId="0" borderId="2" xfId="0" applyFont="1" applyBorder="1" applyAlignment="1">
      <alignment horizontal="center" vertical="center" wrapText="1"/>
    </xf>
    <xf numFmtId="0" fontId="5" fillId="0" borderId="2" xfId="0" applyFont="1" applyBorder="1" applyAlignment="1">
      <alignment horizontal="center" vertical="center" wrapText="1"/>
    </xf>
    <xf numFmtId="3" fontId="11" fillId="2" borderId="4" xfId="1" applyNumberFormat="1" applyFill="1" applyBorder="1" applyAlignment="1">
      <alignment horizontal="center" vertical="center" wrapText="1"/>
    </xf>
    <xf numFmtId="0" fontId="5" fillId="0" borderId="4" xfId="0" applyFont="1" applyBorder="1" applyAlignment="1">
      <alignment horizontal="center" vertical="center" wrapText="1"/>
    </xf>
    <xf numFmtId="0" fontId="6" fillId="3" borderId="4" xfId="0" applyFont="1" applyFill="1" applyBorder="1" applyAlignment="1">
      <alignment horizontal="center" vertical="center" wrapText="1"/>
    </xf>
    <xf numFmtId="0" fontId="0" fillId="0" borderId="4" xfId="0" applyBorder="1" applyAlignment="1">
      <alignment horizontal="center" vertical="center"/>
    </xf>
    <xf numFmtId="0" fontId="11" fillId="2" borderId="4" xfId="1" applyFill="1" applyBorder="1" applyAlignment="1">
      <alignment horizontal="center" vertical="center"/>
    </xf>
    <xf numFmtId="0" fontId="11" fillId="4" borderId="4" xfId="1" applyFill="1" applyBorder="1" applyAlignment="1">
      <alignment horizontal="center" vertical="center"/>
    </xf>
    <xf numFmtId="0" fontId="0" fillId="3" borderId="4" xfId="0" applyFill="1" applyBorder="1" applyAlignment="1">
      <alignment horizontal="center" vertical="center"/>
    </xf>
    <xf numFmtId="0" fontId="8" fillId="0" borderId="4" xfId="0" applyFont="1" applyBorder="1" applyAlignment="1">
      <alignment horizontal="center" vertical="center"/>
    </xf>
    <xf numFmtId="0" fontId="0" fillId="0" borderId="0" xfId="0" applyNumberFormat="1" applyAlignment="1">
      <alignment horizontal="center" vertical="center"/>
    </xf>
    <xf numFmtId="0" fontId="0" fillId="0" borderId="11" xfId="0" applyFont="1" applyFill="1" applyBorder="1" applyAlignment="1">
      <alignment horizontal="center" vertical="center" wrapText="1"/>
    </xf>
    <xf numFmtId="0" fontId="11" fillId="0" borderId="11" xfId="1" applyFont="1" applyFill="1" applyBorder="1" applyAlignment="1">
      <alignment horizontal="center" vertical="center" wrapText="1"/>
    </xf>
    <xf numFmtId="0" fontId="0" fillId="0" borderId="0" xfId="0" applyFont="1" applyFill="1" applyBorder="1" applyAlignment="1">
      <alignment horizontal="center" vertical="center" wrapText="1"/>
    </xf>
    <xf numFmtId="0" fontId="11" fillId="0" borderId="0" xfId="1" applyFont="1" applyFill="1" applyBorder="1" applyAlignment="1">
      <alignment horizontal="center" vertical="center" wrapText="1"/>
    </xf>
    <xf numFmtId="0" fontId="0" fillId="0" borderId="0" xfId="0" applyFill="1" applyAlignment="1">
      <alignment horizontal="center" vertical="center"/>
    </xf>
    <xf numFmtId="0" fontId="0" fillId="0" borderId="0" xfId="0" applyAlignment="1"/>
    <xf numFmtId="0" fontId="0" fillId="2" borderId="0" xfId="0" applyFill="1" applyAlignment="1">
      <alignment horizontal="center" vertical="center"/>
    </xf>
    <xf numFmtId="0" fontId="0" fillId="6" borderId="0" xfId="0" applyFill="1" applyAlignment="1">
      <alignment horizontal="center" vertical="center"/>
    </xf>
    <xf numFmtId="0" fontId="0" fillId="4" borderId="0" xfId="0" applyFill="1" applyAlignment="1">
      <alignment horizontal="center" vertical="center"/>
    </xf>
    <xf numFmtId="0" fontId="0" fillId="7" borderId="0" xfId="0" applyFill="1" applyAlignment="1">
      <alignment horizontal="center" vertical="center" wrapText="1"/>
    </xf>
    <xf numFmtId="0" fontId="0" fillId="8" borderId="0" xfId="0" applyFill="1" applyAlignment="1">
      <alignment horizontal="center" vertical="center" wrapText="1"/>
    </xf>
    <xf numFmtId="0" fontId="0" fillId="9" borderId="0" xfId="0" applyFill="1" applyAlignment="1">
      <alignment horizontal="center" vertical="center" wrapText="1"/>
    </xf>
    <xf numFmtId="0" fontId="11" fillId="2" borderId="4" xfId="1" applyFill="1" applyBorder="1" applyAlignment="1">
      <alignment horizontal="center" vertical="center" wrapText="1"/>
    </xf>
    <xf numFmtId="0" fontId="0" fillId="10" borderId="0" xfId="0" applyFill="1"/>
    <xf numFmtId="0" fontId="0" fillId="10" borderId="0" xfId="0" applyFill="1" applyAlignment="1">
      <alignment horizontal="center" vertical="center" wrapText="1"/>
    </xf>
    <xf numFmtId="0" fontId="0" fillId="0" borderId="0" xfId="0" applyFill="1"/>
    <xf numFmtId="0" fontId="0" fillId="0" borderId="0" xfId="0" applyAlignment="1">
      <alignment horizontal="center" vertical="top" wrapText="1"/>
    </xf>
    <xf numFmtId="11" fontId="0" fillId="0" borderId="0" xfId="0" applyNumberFormat="1" applyAlignment="1">
      <alignment horizontal="center" vertical="center" wrapText="1"/>
    </xf>
    <xf numFmtId="0" fontId="0" fillId="11" borderId="0" xfId="0" applyFill="1"/>
    <xf numFmtId="0" fontId="0" fillId="12" borderId="0" xfId="0" applyFill="1" applyAlignment="1">
      <alignment horizontal="center" vertical="center"/>
    </xf>
    <xf numFmtId="3" fontId="11" fillId="4" borderId="4" xfId="1" applyNumberFormat="1" applyFill="1" applyBorder="1" applyAlignment="1">
      <alignment horizontal="center" vertical="center" wrapText="1"/>
    </xf>
    <xf numFmtId="0" fontId="11" fillId="4" borderId="4" xfId="1" applyFill="1" applyBorder="1" applyAlignment="1">
      <alignment horizontal="center" vertical="center" wrapText="1"/>
    </xf>
    <xf numFmtId="0" fontId="0" fillId="11" borderId="4" xfId="0" applyFill="1" applyBorder="1" applyAlignment="1">
      <alignment horizontal="center" vertical="center"/>
    </xf>
    <xf numFmtId="0" fontId="0" fillId="12" borderId="4" xfId="0" applyFill="1" applyBorder="1" applyAlignment="1">
      <alignment horizontal="center" vertical="center"/>
    </xf>
    <xf numFmtId="0" fontId="6" fillId="11" borderId="4" xfId="0" applyFont="1" applyFill="1" applyBorder="1" applyAlignment="1">
      <alignment horizontal="center" vertical="center" wrapText="1"/>
    </xf>
    <xf numFmtId="0" fontId="6" fillId="12" borderId="4" xfId="0" applyFont="1" applyFill="1" applyBorder="1" applyAlignment="1">
      <alignment horizontal="center" vertical="center" wrapText="1"/>
    </xf>
    <xf numFmtId="0" fontId="8" fillId="2" borderId="0" xfId="0" applyFont="1" applyFill="1" applyAlignment="1">
      <alignment horizontal="center" vertical="center"/>
    </xf>
    <xf numFmtId="0" fontId="8" fillId="6" borderId="0" xfId="0" applyFont="1" applyFill="1" applyAlignment="1">
      <alignment horizontal="center" vertical="center"/>
    </xf>
    <xf numFmtId="0" fontId="8" fillId="4" borderId="0" xfId="0" applyFont="1" applyFill="1" applyAlignment="1">
      <alignment horizontal="center" vertical="center"/>
    </xf>
    <xf numFmtId="0" fontId="8" fillId="12" borderId="0" xfId="0" applyFont="1" applyFill="1" applyAlignment="1">
      <alignment horizontal="center" vertical="center"/>
    </xf>
    <xf numFmtId="0" fontId="8" fillId="11" borderId="0" xfId="0" applyFont="1" applyFill="1" applyAlignment="1">
      <alignment horizontal="center" vertical="center"/>
    </xf>
    <xf numFmtId="0" fontId="8" fillId="0" borderId="0" xfId="0" applyFont="1" applyFill="1" applyAlignment="1">
      <alignment horizontal="center" vertical="center"/>
    </xf>
    <xf numFmtId="0" fontId="6" fillId="0" borderId="4" xfId="0" applyFont="1" applyFill="1" applyBorder="1" applyAlignment="1">
      <alignment horizontal="center" vertical="center" wrapText="1"/>
    </xf>
    <xf numFmtId="0" fontId="7" fillId="0" borderId="12" xfId="0" applyFont="1" applyBorder="1" applyAlignment="1">
      <alignment horizontal="center" vertical="center" wrapText="1"/>
    </xf>
    <xf numFmtId="0" fontId="7" fillId="0" borderId="4" xfId="0" applyFont="1" applyFill="1" applyBorder="1" applyAlignment="1">
      <alignment horizontal="center" vertical="center" wrapText="1"/>
    </xf>
    <xf numFmtId="3" fontId="6" fillId="0" borderId="4" xfId="0" applyNumberFormat="1" applyFont="1" applyFill="1" applyBorder="1" applyAlignment="1">
      <alignment horizontal="center" vertical="center" wrapText="1"/>
    </xf>
    <xf numFmtId="3" fontId="6" fillId="5" borderId="4" xfId="0" applyNumberFormat="1" applyFont="1" applyFill="1" applyBorder="1" applyAlignment="1">
      <alignment horizontal="center" vertical="center" wrapText="1"/>
    </xf>
    <xf numFmtId="3" fontId="6" fillId="0" borderId="12" xfId="0" applyNumberFormat="1" applyFont="1" applyFill="1" applyBorder="1" applyAlignment="1">
      <alignment horizontal="center" vertical="center" wrapText="1"/>
    </xf>
    <xf numFmtId="3" fontId="0" fillId="0" borderId="4" xfId="0" applyNumberFormat="1" applyBorder="1" applyAlignment="1">
      <alignment horizontal="center" vertical="center"/>
    </xf>
    <xf numFmtId="3" fontId="0" fillId="5" borderId="4" xfId="0" applyNumberFormat="1" applyFill="1" applyBorder="1" applyAlignment="1">
      <alignment horizontal="center" vertical="center" wrapText="1"/>
    </xf>
    <xf numFmtId="3" fontId="0" fillId="0" borderId="12" xfId="0" applyNumberFormat="1" applyFill="1" applyBorder="1" applyAlignment="1">
      <alignment horizontal="center" vertical="center" wrapText="1"/>
    </xf>
    <xf numFmtId="3" fontId="0" fillId="0" borderId="4" xfId="0" applyNumberFormat="1" applyFill="1" applyBorder="1" applyAlignment="1">
      <alignment horizontal="center" vertical="center" wrapText="1"/>
    </xf>
    <xf numFmtId="3" fontId="0" fillId="0" borderId="4" xfId="0" applyNumberFormat="1" applyFill="1" applyBorder="1" applyAlignment="1">
      <alignment horizontal="center" vertical="center"/>
    </xf>
    <xf numFmtId="165" fontId="6" fillId="0" borderId="4" xfId="0" applyNumberFormat="1" applyFont="1" applyFill="1" applyBorder="1" applyAlignment="1">
      <alignment horizontal="center" vertical="center" wrapText="1"/>
    </xf>
    <xf numFmtId="165" fontId="0" fillId="0" borderId="4" xfId="0" applyNumberFormat="1" applyFill="1" applyBorder="1" applyAlignment="1">
      <alignment horizontal="center" vertical="center"/>
    </xf>
    <xf numFmtId="165" fontId="6" fillId="5" borderId="4" xfId="0" applyNumberFormat="1" applyFont="1" applyFill="1" applyBorder="1" applyAlignment="1">
      <alignment horizontal="center" vertical="center" wrapText="1"/>
    </xf>
    <xf numFmtId="165" fontId="0" fillId="5" borderId="4" xfId="0" applyNumberFormat="1" applyFill="1" applyBorder="1" applyAlignment="1">
      <alignment horizontal="center" vertical="center" wrapText="1"/>
    </xf>
    <xf numFmtId="165" fontId="0" fillId="0" borderId="4" xfId="0" applyNumberFormat="1" applyFill="1" applyBorder="1" applyAlignment="1">
      <alignment horizontal="center" vertical="center" wrapText="1"/>
    </xf>
    <xf numFmtId="1" fontId="6" fillId="0" borderId="4" xfId="0" applyNumberFormat="1" applyFont="1" applyFill="1" applyBorder="1" applyAlignment="1">
      <alignment horizontal="center" vertical="center" wrapText="1"/>
    </xf>
    <xf numFmtId="1" fontId="0" fillId="0" borderId="4" xfId="0" applyNumberFormat="1" applyFill="1" applyBorder="1" applyAlignment="1">
      <alignment horizontal="center" vertical="center"/>
    </xf>
    <xf numFmtId="1" fontId="6" fillId="5" borderId="4" xfId="0" applyNumberFormat="1" applyFont="1" applyFill="1" applyBorder="1" applyAlignment="1">
      <alignment horizontal="center" vertical="center" wrapText="1"/>
    </xf>
    <xf numFmtId="1" fontId="0" fillId="5" borderId="4" xfId="0" applyNumberFormat="1" applyFill="1" applyBorder="1" applyAlignment="1">
      <alignment horizontal="center" vertical="center" wrapText="1"/>
    </xf>
    <xf numFmtId="1" fontId="0" fillId="0" borderId="4" xfId="0" applyNumberFormat="1" applyFill="1" applyBorder="1" applyAlignment="1">
      <alignment horizontal="center" vertical="center" wrapText="1"/>
    </xf>
    <xf numFmtId="1" fontId="6" fillId="3" borderId="4" xfId="0" applyNumberFormat="1" applyFont="1" applyFill="1" applyBorder="1" applyAlignment="1">
      <alignment horizontal="center" vertical="center" wrapText="1"/>
    </xf>
    <xf numFmtId="1" fontId="0" fillId="0" borderId="4" xfId="0" applyNumberFormat="1" applyBorder="1" applyAlignment="1">
      <alignment horizontal="center" vertical="center"/>
    </xf>
    <xf numFmtId="165" fontId="0" fillId="5" borderId="4" xfId="0" applyNumberFormat="1" applyFill="1" applyBorder="1" applyAlignment="1">
      <alignment horizontal="center" vertical="center"/>
    </xf>
    <xf numFmtId="0" fontId="13" fillId="2" borderId="4" xfId="1" applyFont="1" applyFill="1" applyBorder="1" applyAlignment="1">
      <alignment horizontal="center" vertical="center"/>
    </xf>
    <xf numFmtId="0" fontId="0" fillId="2" borderId="4" xfId="0" applyFill="1" applyBorder="1" applyAlignment="1">
      <alignment horizontal="center" vertical="center"/>
    </xf>
    <xf numFmtId="0" fontId="0" fillId="5" borderId="4" xfId="0" applyFill="1" applyBorder="1" applyAlignment="1">
      <alignment horizontal="center" vertical="center"/>
    </xf>
    <xf numFmtId="49" fontId="0" fillId="0" borderId="13" xfId="0" applyNumberFormat="1" applyBorder="1"/>
    <xf numFmtId="49" fontId="0" fillId="0" borderId="14" xfId="0" applyNumberFormat="1" applyBorder="1"/>
    <xf numFmtId="49" fontId="0" fillId="0" borderId="15" xfId="0" applyNumberFormat="1" applyBorder="1"/>
    <xf numFmtId="49" fontId="0" fillId="0" borderId="16" xfId="0" applyNumberFormat="1" applyBorder="1"/>
    <xf numFmtId="49" fontId="0" fillId="0" borderId="17" xfId="0" applyNumberFormat="1" applyBorder="1"/>
    <xf numFmtId="49" fontId="0" fillId="0" borderId="18" xfId="0" applyNumberFormat="1" applyBorder="1"/>
    <xf numFmtId="165" fontId="6" fillId="2" borderId="4" xfId="0" applyNumberFormat="1" applyFont="1" applyFill="1" applyBorder="1" applyAlignment="1">
      <alignment horizontal="center" vertical="center" wrapText="1"/>
    </xf>
    <xf numFmtId="165" fontId="0" fillId="2" borderId="4" xfId="0" applyNumberFormat="1" applyFill="1" applyBorder="1" applyAlignment="1">
      <alignment horizontal="center" vertical="center"/>
    </xf>
    <xf numFmtId="165" fontId="0" fillId="13" borderId="4" xfId="0" applyNumberFormat="1" applyFill="1" applyBorder="1" applyAlignment="1">
      <alignment horizontal="center" vertical="center"/>
    </xf>
  </cellXfs>
  <cellStyles count="2">
    <cellStyle name="Hyperlink" xfId="1" builtinId="8"/>
    <cellStyle name="Normal" xfId="0" builtinId="0"/>
  </cellStyles>
  <dxfs count="272">
    <dxf>
      <font>
        <color rgb="FFFFCCCC"/>
      </font>
    </dxf>
    <dxf>
      <font>
        <color rgb="FFFFCCCC"/>
      </font>
    </dxf>
    <dxf>
      <font>
        <color rgb="FFFFCCCC"/>
      </font>
    </dxf>
    <dxf>
      <font>
        <color rgb="FFFFCCCC"/>
      </font>
    </dxf>
    <dxf>
      <font>
        <color rgb="FFFFCCCC"/>
      </font>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15" formatCode="0.00E+0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15" formatCode="0.00E+0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indent="0"/>
    </dxf>
    <dxf>
      <alignment horizontal="center" vertical="center" indent="0"/>
    </dxf>
    <dxf>
      <alignment horizontal="center" vertical="center" textRotation="0" wrapText="0" indent="0" justifyLastLine="0" shrinkToFit="0" readingOrder="0"/>
    </dxf>
    <dxf>
      <alignment horizontal="center" vertical="center" indent="0"/>
    </dxf>
    <dxf>
      <alignment horizontal="center" vertical="center" indent="0"/>
    </dxf>
    <dxf>
      <alignment horizontal="center" vertical="center" indent="0"/>
    </dxf>
    <dxf>
      <alignment horizontal="center" vertical="center" indent="0"/>
    </dxf>
    <dxf>
      <alignment horizontal="center" vertical="center" indent="0"/>
    </dxf>
    <dxf>
      <alignment horizontal="center" vertical="center" indent="0"/>
    </dxf>
    <dxf>
      <alignment horizontal="center" vertical="center" textRotation="0" wrapText="0" indent="0" justifyLastLine="0" shrinkToFit="0" readingOrder="0"/>
    </dxf>
    <dxf>
      <alignment horizontal="center" vertical="center" indent="0"/>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indent="0"/>
    </dxf>
    <dxf>
      <alignment horizontal="center" vertical="center" textRotation="0" wrapText="0" indent="0" justifyLastLine="0" shrinkToFit="0" readingOrder="0"/>
    </dxf>
    <dxf>
      <alignment horizontal="center" vertical="center" indent="0"/>
    </dxf>
    <dxf>
      <alignment horizontal="center" vertical="center" indent="0"/>
    </dxf>
    <dxf>
      <alignment horizontal="center" vertical="center" indent="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7" tint="0.39997558519241921"/>
        </patternFill>
      </fill>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font>
        <strike val="0"/>
        <outline val="0"/>
        <shadow val="0"/>
        <u val="none"/>
        <vertAlign val="baseline"/>
        <sz val="11"/>
        <color auto="1"/>
        <name val="Calibri"/>
        <family val="2"/>
        <scheme val="minor"/>
      </font>
      <alignment horizontal="center" vertical="center"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drawings/drawing1.xml><?xml version="1.0" encoding="utf-8"?>
<xdr:wsDr xmlns:xdr="http://schemas.openxmlformats.org/drawingml/2006/spreadsheetDrawing" xmlns:a="http://schemas.openxmlformats.org/drawingml/2006/main">
  <xdr:oneCellAnchor>
    <xdr:from>
      <xdr:col>3</xdr:col>
      <xdr:colOff>685800</xdr:colOff>
      <xdr:row>83</xdr:row>
      <xdr:rowOff>2433637</xdr:rowOff>
    </xdr:from>
    <xdr:ext cx="65" cy="172227"/>
    <xdr:sp macro="" textlink="">
      <xdr:nvSpPr>
        <xdr:cNvPr id="2" name="TextBox 1">
          <a:extLst>
            <a:ext uri="{FF2B5EF4-FFF2-40B4-BE49-F238E27FC236}">
              <a16:creationId xmlns:a16="http://schemas.microsoft.com/office/drawing/2014/main" id="{33B3E120-414C-4155-BB41-2529DF259771}"/>
            </a:ext>
          </a:extLst>
        </xdr:cNvPr>
        <xdr:cNvSpPr txBox="1"/>
      </xdr:nvSpPr>
      <xdr:spPr>
        <a:xfrm>
          <a:off x="8458200" y="73299637"/>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2</xdr:col>
      <xdr:colOff>647700</xdr:colOff>
      <xdr:row>83</xdr:row>
      <xdr:rowOff>747711</xdr:rowOff>
    </xdr:from>
    <xdr:ext cx="1466850" cy="574196"/>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66903358-704E-46BA-A316-B711CC98BDBE}"/>
                </a:ext>
              </a:extLst>
            </xdr:cNvPr>
            <xdr:cNvSpPr txBox="1"/>
          </xdr:nvSpPr>
          <xdr:spPr>
            <a:xfrm>
              <a:off x="6334125" y="69518211"/>
              <a:ext cx="1466850" cy="5741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2000" b="0" i="1">
                        <a:latin typeface="Cambria Math" panose="02040503050406030204" pitchFamily="18" charset="0"/>
                        <a:ea typeface="Cambria Math" panose="02040503050406030204" pitchFamily="18" charset="0"/>
                      </a:rPr>
                      <m:t>𝑆𝑃</m:t>
                    </m:r>
                    <m:r>
                      <a:rPr lang="en-US" sz="2000" b="0" i="1">
                        <a:latin typeface="Cambria Math" panose="02040503050406030204" pitchFamily="18" charset="0"/>
                        <a:ea typeface="Cambria Math" panose="02040503050406030204" pitchFamily="18" charset="0"/>
                      </a:rPr>
                      <m:t>_</m:t>
                    </m:r>
                    <m:r>
                      <a:rPr lang="en-US" sz="2000" b="0" i="1">
                        <a:latin typeface="Cambria Math" panose="02040503050406030204" pitchFamily="18" charset="0"/>
                        <a:ea typeface="Cambria Math" panose="02040503050406030204" pitchFamily="18" charset="0"/>
                      </a:rPr>
                      <m:t>𝑣𝑜𝑙</m:t>
                    </m:r>
                    <m:r>
                      <a:rPr lang="en-US" sz="2000" b="0" i="1">
                        <a:latin typeface="Cambria Math" panose="02040503050406030204" pitchFamily="18" charset="0"/>
                        <a:ea typeface="Cambria Math" panose="02040503050406030204" pitchFamily="18" charset="0"/>
                      </a:rPr>
                      <m:t>×</m:t>
                    </m:r>
                    <m:f>
                      <m:fPr>
                        <m:ctrlPr>
                          <a:rPr lang="en-US" sz="2000" b="0" i="1">
                            <a:latin typeface="Cambria Math" panose="02040503050406030204" pitchFamily="18" charset="0"/>
                          </a:rPr>
                        </m:ctrlPr>
                      </m:fPr>
                      <m:num>
                        <m:r>
                          <m:rPr>
                            <m:sty m:val="p"/>
                          </m:rPr>
                          <a:rPr lang="el-GR" sz="2000" i="1">
                            <a:solidFill>
                              <a:schemeClr val="tx1"/>
                            </a:solidFill>
                            <a:effectLst/>
                            <a:latin typeface="Cambria Math" panose="02040503050406030204" pitchFamily="18" charset="0"/>
                            <a:ea typeface="+mn-ea"/>
                            <a:cs typeface="+mn-cs"/>
                          </a:rPr>
                          <m:t>Σ</m:t>
                        </m:r>
                        <m:r>
                          <m:rPr>
                            <m:sty m:val="p"/>
                          </m:rPr>
                          <a:rPr lang="en-US" sz="2000" b="0" i="1">
                            <a:solidFill>
                              <a:schemeClr val="tx1"/>
                            </a:solidFill>
                            <a:effectLst/>
                            <a:latin typeface="Cambria Math" panose="02040503050406030204" pitchFamily="18" charset="0"/>
                            <a:ea typeface="+mn-ea"/>
                            <a:cs typeface="+mn-cs"/>
                          </a:rPr>
                          <m:t>μ</m:t>
                        </m:r>
                      </m:num>
                      <m:den>
                        <m:r>
                          <a:rPr lang="en-US" sz="2000" b="0" i="1">
                            <a:latin typeface="Cambria Math" panose="02040503050406030204" pitchFamily="18" charset="0"/>
                          </a:rPr>
                          <m:t>𝑁</m:t>
                        </m:r>
                      </m:den>
                    </m:f>
                  </m:oMath>
                </m:oMathPara>
              </a14:m>
              <a:endParaRPr lang="en-US" sz="1100"/>
            </a:p>
          </xdr:txBody>
        </xdr:sp>
      </mc:Choice>
      <mc:Fallback xmlns:r="http://schemas.openxmlformats.org/officeDocument/2006/relationships" xmlns="">
        <xdr:sp macro="" textlink="">
          <xdr:nvSpPr>
            <xdr:cNvPr id="3" name="TextBox 2">
              <a:extLst>
                <a:ext uri="{FF2B5EF4-FFF2-40B4-BE49-F238E27FC236}">
                  <a16:creationId xmlns:a16="http://schemas.microsoft.com/office/drawing/2014/main" id="{66903358-704E-46BA-A316-B711CC98BDBE}"/>
                </a:ext>
              </a:extLst>
            </xdr:cNvPr>
            <xdr:cNvSpPr txBox="1"/>
          </xdr:nvSpPr>
          <xdr:spPr>
            <a:xfrm>
              <a:off x="6334125" y="69518211"/>
              <a:ext cx="1466850" cy="5741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2000" b="0" i="0">
                  <a:latin typeface="Cambria Math" panose="02040503050406030204" pitchFamily="18" charset="0"/>
                  <a:ea typeface="Cambria Math" panose="02040503050406030204" pitchFamily="18" charset="0"/>
                </a:rPr>
                <a:t>𝑆𝑃_𝑣𝑜𝑙×</a:t>
              </a:r>
              <a:r>
                <a:rPr lang="el-GR" sz="2000" i="0">
                  <a:solidFill>
                    <a:schemeClr val="tx1"/>
                  </a:solidFill>
                  <a:effectLst/>
                  <a:latin typeface="Cambria Math" panose="02040503050406030204" pitchFamily="18" charset="0"/>
                  <a:ea typeface="+mn-ea"/>
                  <a:cs typeface="+mn-cs"/>
                </a:rPr>
                <a:t>Σ</a:t>
              </a:r>
              <a:r>
                <a:rPr lang="en-US" sz="2000" b="0" i="0">
                  <a:solidFill>
                    <a:schemeClr val="tx1"/>
                  </a:solidFill>
                  <a:effectLst/>
                  <a:latin typeface="Cambria Math" panose="02040503050406030204" pitchFamily="18" charset="0"/>
                  <a:ea typeface="+mn-ea"/>
                  <a:cs typeface="+mn-cs"/>
                </a:rPr>
                <a:t>μ/</a:t>
              </a:r>
              <a:r>
                <a:rPr lang="en-US" sz="2000" b="0" i="0">
                  <a:latin typeface="Cambria Math" panose="02040503050406030204" pitchFamily="18" charset="0"/>
                </a:rPr>
                <a:t>𝑁</a:t>
              </a:r>
              <a:endParaRPr lang="en-US" sz="1100"/>
            </a:p>
          </xdr:txBody>
        </xdr:sp>
      </mc:Fallback>
    </mc:AlternateContent>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CABB4F-88A0-4B2A-AB64-68BDDD3B9E9E}" name="Table1" displayName="Table1" ref="A11:B16" totalsRowCount="1" headerRowDxfId="271" dataDxfId="270" totalsRowDxfId="269">
  <autoFilter ref="A11:B15" xr:uid="{438C1829-A8C8-4692-8B74-066A2061137F}"/>
  <tableColumns count="2">
    <tableColumn id="1" xr3:uid="{20A9D7EA-1A9C-4566-A215-C9A42775F49A}" name="Neuron Super-Family Parameters" totalsRowLabel="Total" dataDxfId="268" totalsRowDxfId="267"/>
    <tableColumn id="2" xr3:uid="{5D4655F9-A5A1-406A-A335-8A7A7F8ED25C}" name="# of Parameter PDFs" totalsRowFunction="sum" dataDxfId="266" totalsRowDxfId="265">
      <calculatedColumnFormula>COUNTIF(pop_size_neuron_type_internal!B2:B11,"&lt;&gt;0")</calculatedColumnFormula>
    </tableColumn>
  </tableColumns>
  <tableStyleInfo name="TableStyleLight2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30465E1-2A3D-41EF-B6E1-D7D451006642}" name="Table2" displayName="Table2" ref="E11:F24" totalsRowCount="1" headerRowDxfId="264" dataDxfId="263" totalsRowDxfId="262">
  <autoFilter ref="E11:F23" xr:uid="{56022AD8-CCF9-47EC-A679-C8D2F93E1DD5}"/>
  <tableColumns count="2">
    <tableColumn id="1" xr3:uid="{81AD59E1-BFC9-4DA0-8DE5-CDE74E853BAB}" name="Synaptic Super-Family Parameters" totalsRowLabel="Total" dataDxfId="261" totalsRowDxfId="260"/>
    <tableColumn id="2" xr3:uid="{A2B3A141-B3C5-4E36-96C3-B8F4A4A67F2A}" name="# of Parameter PDFs" totalsRowFunction="sum" dataDxfId="259" totalsRowDxfId="258"/>
  </tableColumns>
  <tableStyleInfo name="TableStyleLight1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4479B84-6E7B-4CD2-8333-5F325A519EDC}" name="Table4" displayName="Table4" ref="A35:B52" totalsRowCount="1" headerRowDxfId="257" dataDxfId="256" totalsRowDxfId="255">
  <autoFilter ref="A35:B51" xr:uid="{47A4B18D-CD9D-42A2-BDA1-564D9872BFF7}"/>
  <tableColumns count="2">
    <tableColumn id="1" xr3:uid="{96D7F942-B50A-48C8-9149-16C723018CE2}" name="CA3 SNN Parameters" totalsRowLabel="Total" dataDxfId="254" totalsRowDxfId="253"/>
    <tableColumn id="2" xr3:uid="{5E9EA9C0-39AC-4A7B-BD2B-2055AAFE620A}" name="# of Parameter PDFs" totalsRowFunction="sum" dataDxfId="252" totalsRowDxfId="25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633CA4-CDC5-48CE-A0F7-199AF9986613}" name="Table16" displayName="Table16" ref="A62:B67" totalsRowCount="1" headerRowDxfId="250" dataDxfId="249" totalsRowDxfId="248">
  <autoFilter ref="A62:B66" xr:uid="{F0F7C5CC-0040-4D0F-8F8B-39B0551AE9D3}"/>
  <tableColumns count="2">
    <tableColumn id="1" xr3:uid="{B32A2FC9-F850-485A-9504-EC10B9C7683E}" name="Neuron Super-Family Parameters" totalsRowLabel="Total" dataDxfId="247" totalsRowDxfId="246"/>
    <tableColumn id="2" xr3:uid="{854C8F80-B30E-40A2-8609-EC7ED1DCEF79}" name="# of Parameter PDFs" totalsRowFunction="sum" dataDxfId="245" totalsRowDxfId="244"/>
  </tableColumns>
  <tableStyleInfo name="TableStyleLight2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52A26F4-2680-4B74-BA76-468F1269565E}" name="Table27" displayName="Table27" ref="E62:F75" totalsRowCount="1" headerRowDxfId="243" dataDxfId="242" totalsRowDxfId="241">
  <autoFilter ref="E62:F74" xr:uid="{7B0B3AEF-E7F1-4E5C-989F-E905E49427B5}"/>
  <tableColumns count="2">
    <tableColumn id="1" xr3:uid="{45BD2957-89A6-4169-BCFC-47D48B54A4A1}" name="Synaptic Super-Family Parameters" totalsRowLabel="Total" dataDxfId="240" totalsRowDxfId="239"/>
    <tableColumn id="2" xr3:uid="{EB9DDA82-978C-4820-A82C-837E0FE3AC20}" name="# of Parameter PDFs" totalsRowFunction="sum" dataDxfId="238" totalsRowDxfId="237"/>
  </tableColumns>
  <tableStyleInfo name="TableStyleLight1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E5E2992-543A-4097-8F1E-F656102E0794}" name="Table48" displayName="Table48" ref="A86:G103" totalsRowCount="1" headerRowDxfId="236" dataDxfId="235" totalsRowDxfId="234">
  <autoFilter ref="A86:G102" xr:uid="{F8396B19-DC6F-43F6-A9DC-6EA897E07AA4}"/>
  <tableColumns count="7">
    <tableColumn id="1" xr3:uid="{805FB7D2-DA67-49C5-945F-C3E16073DE42}" name="CA3 SNN Parameters" totalsRowLabel="Total" dataDxfId="233" totalsRowDxfId="232"/>
    <tableColumn id="2" xr3:uid="{1AC70C1C-9BFA-48DF-A65F-83403770A834}" name="# of Parameter PDFs" totalsRowFunction="sum" dataDxfId="231" totalsRowDxfId="230"/>
    <tableColumn id="3" xr3:uid="{230A1D07-B8AA-4415-991F-21DE2CB8CC53}" name="Estimate Level 1" totalsRowFunction="sum" dataDxfId="229" totalsRowDxfId="228">
      <calculatedColumnFormula>(pop_size_neuron_type_external!B16)</calculatedColumnFormula>
    </tableColumn>
    <tableColumn id="4" xr3:uid="{D0771581-1796-45F6-A26C-FB3D15834677}" name="Estimate Level 2" totalsRowFunction="sum" dataDxfId="227" totalsRowDxfId="226">
      <calculatedColumnFormula>(pop_size_neuron_type_internal!B16)</calculatedColumnFormula>
    </tableColumn>
    <tableColumn id="5" xr3:uid="{25489370-ACC8-467D-9873-E4FDA095E686}" name="Estimate Level 3" totalsRowFunction="sum" dataDxfId="225" totalsRowDxfId="224">
      <calculatedColumnFormula>(pop_size_neuron_type_internal!B17)</calculatedColumnFormula>
    </tableColumn>
    <tableColumn id="6" xr3:uid="{51C48578-68F9-4020-917D-ED764B3B81AD}" name="Estimate Level 4" totalsRowFunction="sum" dataDxfId="223" totalsRowDxfId="222">
      <calculatedColumnFormula>(pop_size_neuron_type_internal!B18)</calculatedColumnFormula>
    </tableColumn>
    <tableColumn id="7" xr3:uid="{96D8037C-3489-48A2-9656-BE274BDE1D63}" name="Estimate Level 5" totalsRowFunction="sum" dataDxfId="221" totalsRowDxfId="220">
      <calculatedColumnFormula>(pop_size_neuron_type_internal!B19)</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5AB68B2-D3D1-462D-A648-FEE8CEBF1FBA}" name="Table22" displayName="Table22" ref="A1:D31" headerRowDxfId="219" dataDxfId="218">
  <autoFilter ref="A1:D31" xr:uid="{2D571397-DE6E-495A-B642-1BBD07B945CB}"/>
  <tableColumns count="4">
    <tableColumn id="1" xr3:uid="{4F0B135F-F2E3-452C-A2A6-F057AF42DF2B}" name="Default Parameter List" totalsRowLabel="Total" dataDxfId="217" totalsRowDxfId="216"/>
    <tableColumn id="2" xr3:uid="{A4D63A67-3DF3-48DE-9349-B77DD7C3813D}" name="Count of Default Parameter Type" dataDxfId="215" totalsRowDxfId="214"/>
    <tableColumn id="3" xr3:uid="{1DF8BEC8-FDE0-4929-BAF5-C32C43656EE8}" name="Parameter value" dataDxfId="213" totalsRowDxfId="212"/>
    <tableColumn id="4" xr3:uid="{4194B166-D169-4766-A97A-F7B3CADAD36E}" name="Related Notes on Parameter" totalsRowFunction="count" dataDxfId="211" totalsRowDxfId="210"/>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64AE508-7D13-4546-964B-198B3F107FC2}" name="Table712" displayName="Table712" ref="A2:J20" totalsRowShown="0" headerRowDxfId="209" dataDxfId="208">
  <autoFilter ref="A2:J20" xr:uid="{58370EF6-7F70-4C4F-B0C9-1F3DF6DBF4F3}"/>
  <tableColumns count="10">
    <tableColumn id="1" xr3:uid="{613170C1-17DD-491B-8E62-937D0BCD7C4F}" name="Reference #" dataDxfId="207"/>
    <tableColumn id="2" xr3:uid="{70CD5E54-8421-4DEA-A832-C5E6E623798B}" name="Reference" dataDxfId="206"/>
    <tableColumn id="9" xr3:uid="{FA776D03-F273-4C41-BA54-805D44790288}" name="Reference Link" dataDxfId="205"/>
    <tableColumn id="10" xr3:uid="{AA4884D0-1B4B-488B-90BD-E719A07A05CE}" name="Location of Estimate in Reference" dataDxfId="204"/>
    <tableColumn id="3" xr3:uid="{258874BD-DB4B-4E31-93B3-11608469B14D}" name="Animal" dataDxfId="203"/>
    <tableColumn id="4" xr3:uid="{B8893780-0BC4-483A-97A9-AE540F24BFC2}" name="Population Size estimate (mean)" dataDxfId="202"/>
    <tableColumn id="5" xr3:uid="{AF5B7755-DB12-4875-B612-E77A1BBA0CC4}" name="Age" dataDxfId="201"/>
    <tableColumn id="6" xr3:uid="{6FDCA3BD-076E-4DDA-B5C5-9316712827C9}" name="# Animals Used" dataDxfId="200"/>
    <tableColumn id="7" xr3:uid="{9E97116B-F482-4CAA-8AD9-981174652EA3}" name="Quantitative Method" dataDxfId="199"/>
    <tableColumn id="8" xr3:uid="{9B242FD3-5CB6-4775-A8AD-4DD70C455CF9}" name="Related Notes" dataDxfId="19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5B1BD39-1F39-4CAF-975B-EB4643E86E3A}" name="Table12" displayName="Table12" ref="A25:J48" totalsRowShown="0" headerRowDxfId="197" dataDxfId="196">
  <autoFilter ref="A25:J48" xr:uid="{9405F5D3-460C-40D7-A296-E7CB2CF67A73}"/>
  <tableColumns count="10">
    <tableColumn id="1" xr3:uid="{7C07056D-8D61-4DB9-8076-56830600FACD}" name="Reference #" dataDxfId="195"/>
    <tableColumn id="2" xr3:uid="{8F419995-8957-40D2-8025-3B0F0AC7D3D6}" name="Reference" dataDxfId="194"/>
    <tableColumn id="9" xr3:uid="{2BFB4D38-D5D2-4DE0-820B-AA48B89981A4}" name="Reference Link" dataDxfId="193"/>
    <tableColumn id="10" xr3:uid="{47915A1A-709B-4688-B2BE-13C431136EA2}" name="Location of Estimate in Reference" dataDxfId="192"/>
    <tableColumn id="3" xr3:uid="{BCF07184-D887-4BC5-82D7-951394487111}" name="Animal" dataDxfId="191"/>
    <tableColumn id="4" xr3:uid="{D6C74F92-1213-4BB2-97F9-BC186F2E894E}" name="Estimate (mean)" dataDxfId="190"/>
    <tableColumn id="5" xr3:uid="{686F5306-6B24-41B0-AFCE-40EB48CD463C}" name="Age" dataDxfId="189"/>
    <tableColumn id="6" xr3:uid="{A526B5CA-277D-48BE-83C0-A13AD10EA0C6}" name="# Animals Used" dataDxfId="188"/>
    <tableColumn id="7" xr3:uid="{C9B9CE1F-48BF-48DB-BF38-17D1D4330A6C}" name="Quantitative Method" dataDxfId="187"/>
    <tableColumn id="8" xr3:uid="{17B4EF3A-1996-49FD-B144-9587510A1A8E}" name="Related Notes" dataDxfId="186"/>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89C264A-4C60-412E-AAAA-9B9900D105A0}" name="Table14" displayName="Table14" ref="A52:E58" totalsRowCount="1" headerRowDxfId="185" dataDxfId="184">
  <autoFilter ref="A52:E57" xr:uid="{E68BDCF4-EDF4-40D5-97CC-81253D87E00B}"/>
  <tableColumns count="5">
    <tableColumn id="1" xr3:uid="{B5A71834-9FE1-4F9F-AB5A-B2084DA6FDBF}" name="CA3 Layer" totalsRowLabel="Total" dataDxfId="183" totalsRowDxfId="182"/>
    <tableColumn id="2" xr3:uid="{580A238B-B136-41CA-98FB-D8BC2AA6F6BE}" name="GABAergic Population Size (Bilateral)" totalsRowFunction="sum" dataDxfId="181" totalsRowDxfId="180">
      <calculatedColumnFormula>F34*F42</calculatedColumnFormula>
    </tableColumn>
    <tableColumn id="3" xr3:uid="{8991288B-C5BC-4F36-9797-EAD19B4FB7C1}" name="GABAergic Population Size (Unilateral)" totalsRowFunction="sum" dataDxfId="179" totalsRowDxfId="178">
      <calculatedColumnFormula>_xlfn.CEILING.MATH(F34*F42/2)</calculatedColumnFormula>
    </tableColumn>
    <tableColumn id="5" xr3:uid="{B306028A-CEE6-4A79-BD89-99B4055FF284}" name="Cells Involved in the Computation" dataDxfId="177" totalsRowDxfId="176"/>
    <tableColumn id="4" xr3:uid="{7E354998-D33F-47E2-A2EC-0B4481B25C13}" name="How the computation was performed" dataDxfId="175" totalsRowDxfId="174"/>
  </tableColumns>
  <tableStyleInfo name="TableStyleLight2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95BE253-14C6-4B2F-9121-6A1A12387896}" name="Table15" displayName="Table15" ref="A61:F66" totalsRowShown="0" headerRowDxfId="173" dataDxfId="172">
  <autoFilter ref="A61:F66" xr:uid="{B9EA6C0A-C30E-4917-BF9F-903C4E2848B9}"/>
  <tableColumns count="6">
    <tableColumn id="1" xr3:uid="{4995261A-E75E-4068-8192-BDC8B9FC371A}" name="CA3 Layer" dataDxfId="171"/>
    <tableColumn id="2" xr3:uid="{781A7AF3-BCA3-4E7A-97C5-EC8A62B2AA1C}" name="Layer-specific somata (bolded neuron types are used in the reduced CA3 SNN)" dataDxfId="170"/>
    <tableColumn id="3" xr3:uid="{84A52C39-6602-4F96-981D-4FB1920CB544}" name="Equation (Using Unilateral Layer Population Estimates)" dataDxfId="169"/>
    <tableColumn id="4" xr3:uid="{91B2BA4F-5119-4494-B718-C9F6429C709C}" name="Population Size Estimate for Each Neuron Type in the Layer" dataDxfId="168"/>
    <tableColumn id="7" xr3:uid="{40DA55A6-BBEA-47EF-80D5-EF1175876559}" name="Cells Involved in the Computation" dataDxfId="167"/>
    <tableColumn id="6" xr3:uid="{98DDA497-82BB-4101-B0DF-B0808E1D43A2}" name="Why the computation was performed" dataDxfId="166"/>
  </tableColumns>
  <tableStyleInfo name="TableStyleMedium1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6F63B5-7E2A-4292-8F79-86FDDF3A8E38}" name="Table8" displayName="Table8" ref="A15:J17" totalsRowShown="0" headerRowDxfId="165" dataDxfId="164">
  <autoFilter ref="A15:J17" xr:uid="{FC770343-6DA2-497D-A248-A7BED7897550}"/>
  <tableColumns count="10">
    <tableColumn id="1" xr3:uid="{8085143A-7674-43B7-B151-7A42DF6E872C}" name="Reference #" dataDxfId="163"/>
    <tableColumn id="2" xr3:uid="{CBECD5C7-5B11-4A24-9899-D0811711C1F2}" name="Reference"/>
    <tableColumn id="3" xr3:uid="{034C4CFC-EF2A-4FF6-9213-91DB061DE745}" name="Reference Link" dataDxfId="162" dataCellStyle="Hyperlink"/>
    <tableColumn id="4" xr3:uid="{8145C753-28ED-4379-96EE-6D4C22E351D7}" name="Location of Estimate in Reference"/>
    <tableColumn id="5" xr3:uid="{65B7E134-78B9-4B71-A3FF-ADF1FD90E95A}" name="Animal" dataDxfId="161"/>
    <tableColumn id="6" xr3:uid="{7AE840AC-1B53-491B-A0B2-9302FCFCCCEA}" name="Population Size (Estimate)" dataDxfId="160">
      <calculatedColumnFormula>_xlfn.CEILING.MATH(66365/2)</calculatedColumnFormula>
    </tableColumn>
    <tableColumn id="7" xr3:uid="{00304866-474B-41CF-91D8-911197D8204B}" name="Age" dataDxfId="159"/>
    <tableColumn id="8" xr3:uid="{228807FC-20D2-4EA9-95E8-8C8DD2912FD2}" name="# Animals Used" dataDxfId="158"/>
    <tableColumn id="9" xr3:uid="{3C4F5501-C0FB-4E7B-A320-A66E110CB08D}" name="Quantitative Method" dataDxfId="157"/>
    <tableColumn id="10" xr3:uid="{883CDA08-723B-48EA-8B07-773F59AA090E}" name="Related Notes"/>
  </tableColumns>
  <tableStyleInfo name="TableStyleMedium3"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DAD5177-47B4-49FE-8240-CF28B7220CAD}" name="Table9" displayName="Table9" ref="A2:J3" totalsRowShown="0" headerRowDxfId="156" dataDxfId="155">
  <autoFilter ref="A2:J3" xr:uid="{CD8E442D-B85E-407D-840A-E3E4F3FC98ED}"/>
  <tableColumns count="10">
    <tableColumn id="1" xr3:uid="{0FE77C78-62E4-4AC3-9B8C-E928C1CA81E5}" name="Reference #" dataDxfId="154"/>
    <tableColumn id="2" xr3:uid="{7F1210E9-4392-4FF8-A8F8-CDDE8FE086EE}" name="Reference" dataDxfId="153"/>
    <tableColumn id="3" xr3:uid="{2DE75BEA-068C-4051-95FF-781B3F84DAB2}" name="Reference Link" dataDxfId="152" dataCellStyle="Hyperlink"/>
    <tableColumn id="4" xr3:uid="{7D113D80-A1A5-4413-9BF8-C29D6F582BE6}" name="Location of Estimate in Reference" dataDxfId="151"/>
    <tableColumn id="5" xr3:uid="{0AC5EA74-95F4-49BD-BA69-DCDAA0B77F0C}" name="Animal" dataDxfId="150"/>
    <tableColumn id="6" xr3:uid="{F0F570E0-5D6B-4E6C-A491-128604C96C89}" name="Population Size (Estimate)" dataDxfId="149"/>
    <tableColumn id="7" xr3:uid="{805680DE-7928-47A5-A014-78E75D17C200}" name="Age" dataDxfId="148"/>
    <tableColumn id="8" xr3:uid="{D409AF7F-C2FF-4E8C-9E71-501C94720DD6}" name="# Animals Used" dataDxfId="147"/>
    <tableColumn id="9" xr3:uid="{6AC62E3B-E4E7-4339-86A2-88AAAEFB2C02}" name="Quantitative Method" dataDxfId="146"/>
    <tableColumn id="10" xr3:uid="{0188CC2B-091E-447C-AE62-7FFE0ABED870}" name="Related Notes" dataDxfId="145"/>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E49548F7-64F3-4F9C-B0A4-49B841706B11}" name="Table1718" displayName="Table1718" ref="A2:E6" totalsRowShown="0" headerRowDxfId="144">
  <autoFilter ref="A2:E6" xr:uid="{81292251-DDCC-4315-B0BB-3588339B768A}"/>
  <tableColumns count="5">
    <tableColumn id="1" xr3:uid="{4D1A3392-9A9B-4C88-9CE6-36DB77E09C8B}" name="Reference #" dataDxfId="143"/>
    <tableColumn id="2" xr3:uid="{5ABEBF27-3822-437B-95FB-60E9223A5B0A}" name="Reference" dataDxfId="142"/>
    <tableColumn id="3" xr3:uid="{E38BAD69-1CFD-4469-A277-F189EB079D12}" name="Reference Link" dataDxfId="141"/>
    <tableColumn id="4" xr3:uid="{EE3357DD-7754-4AA7-BE21-FA7DEB75399D}" name="Quantitative Method" dataDxfId="140"/>
    <tableColumn id="5" xr3:uid="{A2108E9F-E385-4D75-B46E-71EB8DAF6673}" name="Relevant Notes" dataDxfId="139"/>
  </tableColumns>
  <tableStyleInfo name="TableStyleDark1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A55AEFA-DCE0-4DAA-821E-8B426774C94B}" name="Table13" displayName="Table13" ref="A43:K63" totalsRowShown="0" headerRowDxfId="138" dataDxfId="137">
  <autoFilter ref="A43:K63" xr:uid="{73B3D4C3-3DA1-4B3B-806B-E59C1ADC0B45}"/>
  <tableColumns count="11">
    <tableColumn id="1" xr3:uid="{33A6DE5D-E639-48BA-8007-512D53AFEC10}" name="EA_trial" dataDxfId="136"/>
    <tableColumn id="2" xr3:uid="{633DA5E4-56B5-438E-B31F-9E5CD2A5703E}" name="k" dataDxfId="135"/>
    <tableColumn id="3" xr3:uid="{65B1C4D3-4232-437F-80C5-32931B1A3906}" name="a" dataDxfId="134"/>
    <tableColumn id="4" xr3:uid="{6C407322-A3F2-4304-B341-63A353D655F7}" name="b" dataDxfId="133"/>
    <tableColumn id="5" xr3:uid="{EB9CE672-B9C3-4A4F-B52C-CC34A0463871}" name="d" dataDxfId="132"/>
    <tableColumn id="6" xr3:uid="{CD869E83-9958-4666-A485-8026D41B6C54}" name="C" dataDxfId="131"/>
    <tableColumn id="7" xr3:uid="{BD6C0013-377D-41C5-8CCD-AB3BB45582F9}" name="Vr" dataDxfId="130"/>
    <tableColumn id="8" xr3:uid="{E64FCF11-4963-4D31-A48A-1ADDBC9E121C}" name="Vt" dataDxfId="129"/>
    <tableColumn id="9" xr3:uid="{85C980DF-E8D7-4A59-8EC5-7848C5DBC2BE}" name="Vmin" dataDxfId="128"/>
    <tableColumn id="10" xr3:uid="{28F56EE6-4F3D-4983-AA3A-158AF3875CEE}" name="Vpeak" dataDxfId="127"/>
    <tableColumn id="11" xr3:uid="{E8BD1F52-5F18-4AF3-8BCE-7A89690CE372}" name="EA_fitness" dataDxfId="12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3F2A235-7BF5-4ECD-B0A0-8BC0A2D1C394}" name="Table17" displayName="Table17" ref="A69:K89" totalsRowShown="0" headerRowDxfId="125" dataDxfId="124">
  <autoFilter ref="A69:K89" xr:uid="{E280BB0D-55B5-4444-BF9F-811BF54E5DD0}"/>
  <tableColumns count="11">
    <tableColumn id="1" xr3:uid="{6644722E-558C-4CD7-AC35-BBDC79D104AA}" name="EA_trial" dataDxfId="123"/>
    <tableColumn id="2" xr3:uid="{90365BA2-79C1-4DD1-8B49-1B2BD378D69D}" name="k" dataDxfId="122"/>
    <tableColumn id="3" xr3:uid="{3D171FF2-ABC0-4F32-A3BF-18BD20418F89}" name="a" dataDxfId="121"/>
    <tableColumn id="4" xr3:uid="{DE273C25-0F33-4EBF-AD27-CF7BBDE4BDF4}" name="b" dataDxfId="120"/>
    <tableColumn id="5" xr3:uid="{71190896-D4DE-4882-AE54-5339C9C07CC3}" name="d" dataDxfId="119"/>
    <tableColumn id="6" xr3:uid="{A68ED47B-C946-4075-932E-07994DA57582}" name="C" dataDxfId="118"/>
    <tableColumn id="7" xr3:uid="{F28CE1E2-0EA7-447F-871A-B26C77509848}" name="Vr" dataDxfId="117"/>
    <tableColumn id="8" xr3:uid="{0DA80FCD-DE5F-4B85-82D5-F59AFC3FCED5}" name="Vt" dataDxfId="116"/>
    <tableColumn id="9" xr3:uid="{522FF26D-4BBE-438E-A331-3CE8490E9A7F}" name="Vmin" dataDxfId="115"/>
    <tableColumn id="10" xr3:uid="{6F3130C4-AE7A-42CB-85FC-11CA90C7F98B}" name="Vpeak" dataDxfId="114"/>
    <tableColumn id="11" xr3:uid="{94FDB5D2-80E2-4CBD-9735-ACB93297E2F3}" name="EA_fitness" dataDxfId="113"/>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15B80721-302A-4EA5-8DEA-9D7A516C1FC7}" name="Table23" displayName="Table23" ref="A96:K116" totalsRowShown="0" headerRowDxfId="112" dataDxfId="111">
  <autoFilter ref="A96:K116" xr:uid="{8BC943BF-8161-430F-90E5-E7B39FD4A4EC}"/>
  <tableColumns count="11">
    <tableColumn id="1" xr3:uid="{8CD2E7F4-2B1D-44C1-910F-51BD85F77D08}" name="EA_trial" dataDxfId="110"/>
    <tableColumn id="2" xr3:uid="{DE626C14-246A-43D0-8AD1-96FED9EA3AB7}" name="k" dataDxfId="109"/>
    <tableColumn id="3" xr3:uid="{BD8E49E6-8880-4AA2-A718-7D46A95D1B85}" name="a" dataDxfId="108"/>
    <tableColumn id="4" xr3:uid="{BB7D380B-B834-4427-A0FF-53314BF611B6}" name="b" dataDxfId="107"/>
    <tableColumn id="5" xr3:uid="{BE4FFAFD-CB45-48BE-A5D2-B6222B15F74F}" name="d" dataDxfId="106"/>
    <tableColumn id="6" xr3:uid="{8419D221-7C70-4FA2-90F6-F55386A16FBA}" name="C" dataDxfId="105"/>
    <tableColumn id="7" xr3:uid="{C346B2A8-F1E3-4431-A21F-CBC5B3286BD2}" name="Vr" dataDxfId="104"/>
    <tableColumn id="8" xr3:uid="{ABC84171-5C35-4E61-B8D1-03CD941DEC22}" name="Vt" dataDxfId="103"/>
    <tableColumn id="9" xr3:uid="{7BA420CC-901F-4F29-8E6E-5A79829320AC}" name="Vmin" dataDxfId="102"/>
    <tableColumn id="10" xr3:uid="{6B61ABEC-998A-4CD2-906A-BDBFCB2F0FC2}" name="Vpeak" dataDxfId="101"/>
    <tableColumn id="11" xr3:uid="{561264CC-FED7-4FF4-A343-444D76859E48}" name="EA_fitness" dataDxfId="100"/>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8725C80-B879-46FB-8533-4DD1CFA20E91}" name="Table24" displayName="Table24" ref="A123:K143" totalsRowShown="0" headerRowDxfId="99" dataDxfId="98">
  <autoFilter ref="A123:K143" xr:uid="{C77FB0E1-D57D-4BA3-A214-864402E24D64}"/>
  <tableColumns count="11">
    <tableColumn id="1" xr3:uid="{C84D06F1-344E-47BF-8F9E-BB8BFD01E8B9}" name="EA_trial" dataDxfId="97"/>
    <tableColumn id="2" xr3:uid="{DC510DED-CDDA-4E4B-A816-520769E0EC84}" name="k" dataDxfId="96"/>
    <tableColumn id="3" xr3:uid="{7912260D-F226-4567-A54C-A5F940DA118C}" name="a" dataDxfId="95"/>
    <tableColumn id="4" xr3:uid="{E93A1ECD-AD0F-4645-B550-CD093CB6258A}" name="b" dataDxfId="94"/>
    <tableColumn id="5" xr3:uid="{F3458874-DE09-4758-8A17-16BACE664AE9}" name="d" dataDxfId="93"/>
    <tableColumn id="6" xr3:uid="{ACE084FD-AD6E-4C21-92D7-91EC238D3F03}" name="C" dataDxfId="92"/>
    <tableColumn id="7" xr3:uid="{45FBF1A5-C14B-4C79-9041-11DD06DC7B6C}" name="Vr" dataDxfId="91"/>
    <tableColumn id="8" xr3:uid="{38A8DD54-7F56-4533-A0DD-E0CFC6B13DC7}" name="Vt" dataDxfId="90"/>
    <tableColumn id="9" xr3:uid="{0D4CDB1F-5C6C-47CD-84C2-9DA1C66E7107}" name="Vmin" dataDxfId="89"/>
    <tableColumn id="10" xr3:uid="{E0FBE155-24F4-4E01-8E3C-61EA96DBC720}" name="Vpeak" dataDxfId="88"/>
    <tableColumn id="11" xr3:uid="{BE43EAF9-AA2F-4BB9-AF76-FE5E6B85CB96}" name="EA_fitness" dataDxfId="87"/>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4CD226A4-D57C-47D7-BEB6-69F542990740}" name="Table25" displayName="Table25" ref="A150:K170" totalsRowShown="0" headerRowDxfId="86" dataDxfId="85">
  <autoFilter ref="A150:K170" xr:uid="{F6F165DB-6ABB-4835-84B1-3A05BB4AE991}"/>
  <tableColumns count="11">
    <tableColumn id="1" xr3:uid="{823B75CD-28CE-43E1-B402-0B86340A3F23}" name="EA_trial" dataDxfId="84"/>
    <tableColumn id="2" xr3:uid="{DD2B87E3-E090-4FF4-BFD8-58B73CB611F6}" name="k" dataDxfId="83"/>
    <tableColumn id="3" xr3:uid="{31BA7199-27CA-47CD-9FF0-59F62A554FF4}" name="a" dataDxfId="82"/>
    <tableColumn id="4" xr3:uid="{A873CD17-B311-4CF2-84A7-727A7DD3065F}" name="b" dataDxfId="81"/>
    <tableColumn id="5" xr3:uid="{C7D2C7CD-0921-46F4-9687-706D593EF820}" name="d" dataDxfId="80"/>
    <tableColumn id="6" xr3:uid="{98E44D7D-A550-4713-B6E9-4782F8817471}" name="C" dataDxfId="79"/>
    <tableColumn id="7" xr3:uid="{F1CF1B06-C6C0-4BD6-842A-69A8C03C12BB}" name="Vr" dataDxfId="78"/>
    <tableColumn id="8" xr3:uid="{85506F32-3992-467D-9525-7B122EEE4682}" name="Vt" dataDxfId="77"/>
    <tableColumn id="9" xr3:uid="{B012E308-918F-4718-B92C-9EC95A289220}" name="Vmin" dataDxfId="76"/>
    <tableColumn id="10" xr3:uid="{0B2D1C2E-70B6-4944-AE4D-715FA6F6AF2C}" name="Vpeak" dataDxfId="75"/>
    <tableColumn id="11" xr3:uid="{EDD94CD1-6332-4409-9B09-191ADC746602}" name="EA_fitness" dataDxfId="74"/>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09FAE60-9541-4CA5-867B-C81800E2ED7B}" name="Table26" displayName="Table26" ref="A177:K197" totalsRowShown="0" headerRowDxfId="73" dataDxfId="72">
  <autoFilter ref="A177:K197" xr:uid="{D96689D2-2CFC-4645-9CEE-4B055FFF4A1F}"/>
  <tableColumns count="11">
    <tableColumn id="1" xr3:uid="{0BD54D38-56D3-4CB6-AB7F-7020F78EEB45}" name="EA_trial" dataDxfId="71"/>
    <tableColumn id="2" xr3:uid="{8EE42D6D-BE95-48A1-A443-C63C98F626D9}" name="k" dataDxfId="70"/>
    <tableColumn id="3" xr3:uid="{F5AE8E80-0A23-4F2E-B65D-456BB5573437}" name="a" dataDxfId="69"/>
    <tableColumn id="4" xr3:uid="{2F16745F-B805-4549-A990-3987151CDA36}" name="b" dataDxfId="68"/>
    <tableColumn id="5" xr3:uid="{2C4ABE9E-4FCE-49E0-B37A-DAFD28DF653F}" name="d" dataDxfId="67"/>
    <tableColumn id="6" xr3:uid="{D40CA0E2-8A6F-49FF-9754-D7CCF9D535A0}" name="C" dataDxfId="66"/>
    <tableColumn id="7" xr3:uid="{180F6491-25AC-4052-BC48-32F2B8432BC3}" name="Vr" dataDxfId="65"/>
    <tableColumn id="8" xr3:uid="{95481252-3C4C-469E-A3BA-F6638E1D7852}" name="Vt" dataDxfId="64"/>
    <tableColumn id="9" xr3:uid="{108DFF4A-F15F-43E6-AB6B-70DD4D442152}" name="Vmin" dataDxfId="63"/>
    <tableColumn id="10" xr3:uid="{80AFC01C-8D04-4974-A683-E0DB5A8DD950}" name="Vpeak" dataDxfId="62"/>
    <tableColumn id="11" xr3:uid="{13554DDB-47D9-4121-95DA-826E6BF7800A}" name="EA_fitness" dataDxfId="61"/>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BA99AFE3-909F-4FAE-B3A2-CB49880FE44A}" name="Table28" displayName="Table28" ref="A204:K214" totalsRowShown="0" headerRowDxfId="60" dataDxfId="59">
  <autoFilter ref="A204:K214" xr:uid="{C6897B2C-017D-4D63-BE27-B28C18C18E16}"/>
  <tableColumns count="11">
    <tableColumn id="1" xr3:uid="{9F9E545C-3712-46F6-AAFB-9BAA232BB691}" name="EA_trial" dataDxfId="58"/>
    <tableColumn id="2" xr3:uid="{45F8AFE1-D65F-4760-AFE8-11C897187B7F}" name="k" dataDxfId="57"/>
    <tableColumn id="3" xr3:uid="{77952AD4-F24C-4117-BDE4-1C91A3ADB075}" name="a" dataDxfId="56"/>
    <tableColumn id="4" xr3:uid="{57FD5956-7117-4E21-931D-E1E0B8097030}" name="b" dataDxfId="55"/>
    <tableColumn id="5" xr3:uid="{BB7D2F22-40BC-4916-A94C-F1BEC8B67FF2}" name="d" dataDxfId="54"/>
    <tableColumn id="6" xr3:uid="{093F7CA2-8262-496B-8596-D83B2B4BD69D}" name="C" dataDxfId="53"/>
    <tableColumn id="7" xr3:uid="{B3C203A1-00C9-4DD9-BBDF-0DBF4DC041BA}" name="Vr" dataDxfId="52"/>
    <tableColumn id="8" xr3:uid="{D36F2FED-C522-4909-B436-0C5352FADA32}" name="Vt" dataDxfId="51"/>
    <tableColumn id="9" xr3:uid="{7F6E7B9A-E7C8-43BB-877E-792801AC135C}" name="Vmin" dataDxfId="50"/>
    <tableColumn id="10" xr3:uid="{AA483652-F6E2-4CA3-8077-FF88606ACB5E}" name="Vpeak" dataDxfId="49"/>
    <tableColumn id="11" xr3:uid="{6282F4FC-3542-432C-A3EE-9DD76CE3511A}" name="EA_fitness" dataDxfId="48"/>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89ECFCE-020A-4BEE-942C-076C6767592E}" name="Table7" displayName="Table7" ref="A2:G4" totalsRowShown="0" headerRowDxfId="47" dataDxfId="46">
  <autoFilter ref="A2:G4" xr:uid="{D8AE9845-291C-449A-ABB3-44078FFB7CEC}"/>
  <tableColumns count="7">
    <tableColumn id="1" xr3:uid="{0BE02178-B370-40F8-B0AE-378D8DAF57E0}" name="Reference #" dataDxfId="45"/>
    <tableColumn id="2" xr3:uid="{E3485896-B78C-4E0F-9764-FFAB298CAE83}" name="Reference " dataDxfId="44"/>
    <tableColumn id="3" xr3:uid="{AD71DA37-74B8-4771-9BA4-A1D063F81B4A}" name="Reference Link" dataDxfId="43" dataCellStyle="Hyperlink"/>
    <tableColumn id="4" xr3:uid="{D6F4CFB3-196E-42B9-9C50-9D647E966FCC}" name="Location of Activity in Reference " dataDxfId="42"/>
    <tableColumn id="5" xr3:uid="{7E15282E-AF0D-449E-8D92-DF0CF3ADEC0D}" name="Measured Rhythm" dataDxfId="41"/>
    <tableColumn id="6" xr3:uid="{636EC9BD-1135-4A9E-8F27-BD816453BB78}" name="Rhythm to be used in SNN (Hz)" dataDxfId="40"/>
    <tableColumn id="7" xr3:uid="{35D2D301-25C3-4731-B153-BDA5C6279384}" name="Related Notes" dataDxfId="39"/>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38F89027-49E6-4C82-8447-69E73BEF20B6}" name="Table21" displayName="Table21" ref="A1:F6" totalsRowShown="0" headerRowDxfId="38" dataDxfId="37">
  <autoFilter ref="A1:F6" xr:uid="{18F8619B-505C-4A87-A572-B4DC6C471A55}"/>
  <tableColumns count="6">
    <tableColumn id="1" xr3:uid="{F6A284C2-88EC-4BBD-A912-EEA1B2A018FA}" name="Reference #" dataDxfId="36"/>
    <tableColumn id="2" xr3:uid="{69F71B3B-9C79-4F8D-B1A0-C54C168A5D26}" name="Reference" dataDxfId="35"/>
    <tableColumn id="3" xr3:uid="{D665EEC9-D698-4C6C-AB75-F6E28342D91A}" name="Reference Link" dataDxfId="34"/>
    <tableColumn id="4" xr3:uid="{33A0B893-BBA8-4202-9F7A-6F0F40D88056}" name="Value" dataDxfId="33"/>
    <tableColumn id="5" xr3:uid="{508493E2-2187-410C-BA37-DC6B43F5F89E}" name="Quantitative Method" dataDxfId="32"/>
    <tableColumn id="6" xr3:uid="{DEB829EB-62CC-45D7-9FB7-CE9E266DEEDF}" name="Relevant Notes" dataDxfId="31"/>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9957EC9-0299-4589-840D-210FCB1EF67C}" name="Table10" displayName="Table10" ref="A24:C26" totalsRowShown="0" headerRowDxfId="30" dataDxfId="29">
  <autoFilter ref="A24:C26" xr:uid="{C30376F0-4358-4CDB-8A18-97372C988E77}"/>
  <tableColumns count="3">
    <tableColumn id="1" xr3:uid="{CE9189D3-9C59-46B9-8093-5AA695FF81CC}" name="Part of Axon" dataDxfId="28"/>
    <tableColumn id="2" xr3:uid="{4EADE466-CA02-4A38-A0A6-51603550B7A8}" name="Excitatory connections" dataDxfId="27">
      <calculatedColumnFormula>_xlfn.CEILING.MATH(F6*F15/F7)</calculatedColumnFormula>
    </tableColumn>
    <tableColumn id="3" xr3:uid="{7C300465-2496-437B-AE34-4BB3C903B724}" name="Inhibitory connections" dataDxfId="26">
      <calculatedColumnFormula>_xlfn.CEILING.MATH(F6*F16/F8)</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7F2EABC6-B0EE-439A-83A5-B180284E4149}" name="Table18" displayName="Table18" ref="A39:D48" totalsRowShown="0" headerRowDxfId="25" dataDxfId="24">
  <autoFilter ref="A39:D48" xr:uid="{94C3CF7D-F3EA-4DA4-BDB8-C892C839369F}"/>
  <tableColumns count="4">
    <tableColumn id="1" xr3:uid="{592371BE-09A0-4F0D-9F45-4C4DABFA9747}" name="CA3 Neuron Type" dataDxfId="23"/>
    <tableColumn id="2" xr3:uid="{F50E3B3F-A492-4CAB-A3BA-0B46264B3869}" name="Probability of Connection" dataDxfId="22"/>
    <tableColumn id="3" xr3:uid="{974B8952-9362-4DF3-A9D9-2692ED69F8CA}" name="Cells Involved in the Computation" dataDxfId="21"/>
    <tableColumn id="4" xr3:uid="{C6456E79-FAD0-4154-B12C-210E74FE3F4C}" name="How the Computation Was Performed" dataDxfId="20"/>
  </tableColumns>
  <tableStyleInfo name="TableStyleLight19"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E357107-E12F-47F4-9570-EC4C51C2994D}" name="Table19" displayName="Table19" ref="A29:D34" totalsRowShown="0" headerRowDxfId="19" dataDxfId="18">
  <autoFilter ref="A29:D34" xr:uid="{FFAABCD8-0096-49B8-9F75-ECF990D2E646}"/>
  <tableColumns count="4">
    <tableColumn id="1" xr3:uid="{5BE4E4DA-0E33-4C24-BEDC-B9210785333F}" name="CA3 Neuron Type" dataDxfId="17"/>
    <tableColumn id="2" xr3:uid="{389B1F9E-8690-4E34-AD35-8C8389B21B38}" name="Probability of Connection" dataDxfId="16"/>
    <tableColumn id="3" xr3:uid="{D1EDAB73-0E7E-41AB-8405-CDCB9F871E51}" name="Cells Involved in the Computation" dataDxfId="15"/>
    <tableColumn id="4" xr3:uid="{D9AA2313-EA7D-4429-81E0-B2038538ECA1}" name="How the Computation Was Performed" dataDxfId="14"/>
  </tableColumns>
  <tableStyleInfo name="TableStyleMedium13"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B7206D7-B214-47D4-8332-2908BD2FE6AD}" name="Table20" displayName="Table20" ref="A1:G17" totalsRowShown="0" headerRowDxfId="13" dataDxfId="12">
  <autoFilter ref="A1:G17" xr:uid="{15CAB1D7-54CF-4F57-974B-EA9EB1D2239A}"/>
  <tableColumns count="7">
    <tableColumn id="1" xr3:uid="{0463850F-BECB-41E8-B3B8-09BE33513F41}" name="Reference #" dataDxfId="11"/>
    <tableColumn id="2" xr3:uid="{9BB3A9B9-D5B3-4E4D-91B7-9C42136A0C03}" name="Reference" dataDxfId="10"/>
    <tableColumn id="3" xr3:uid="{55EE250F-6245-427E-8760-86D48402E835}" name="Reference Link" dataDxfId="9"/>
    <tableColumn id="4" xr3:uid="{E1516216-4D86-489E-B6C8-362D34C3563E}" name="Location of Measurement in Reference" dataDxfId="8"/>
    <tableColumn id="5" xr3:uid="{B13BC9F1-8AC3-4C05-9CC5-AB210042C919}" name="Measurement" dataDxfId="7"/>
    <tableColumn id="6" xr3:uid="{0D4288E9-9132-4238-8ECB-0B9571BAFE44}" name="Measurement Value" dataDxfId="6"/>
    <tableColumn id="7" xr3:uid="{CC19EFCA-3FFE-40DD-8E83-D8F0F3FD7B75}" name="Relevant Notes" dataDxfId="5"/>
  </tableColumns>
  <tableStyleInfo name="TableStyleLight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7.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8" Type="http://schemas.openxmlformats.org/officeDocument/2006/relationships/hyperlink" Target="https://www.sciencedirect.com/science/article/pii/S0006899304010807?via%3Dihub" TargetMode="External"/><Relationship Id="rId13" Type="http://schemas.openxmlformats.org/officeDocument/2006/relationships/hyperlink" Target="https://www.sciencedirect.com/science/article/pii/S0006899398002182?via%3Dihub" TargetMode="External"/><Relationship Id="rId18" Type="http://schemas.openxmlformats.org/officeDocument/2006/relationships/hyperlink" Target="https://bbp.epfl.ch/nexus/cell-atlas/?v=v2&amp;std=1" TargetMode="External"/><Relationship Id="rId26" Type="http://schemas.openxmlformats.org/officeDocument/2006/relationships/table" Target="../tables/table11.xml"/><Relationship Id="rId3" Type="http://schemas.openxmlformats.org/officeDocument/2006/relationships/hyperlink" Target="https://www.sciencedirect.com/science/article/pii/S1385299X04000741?via%3Dihub" TargetMode="External"/><Relationship Id="rId21" Type="http://schemas.openxmlformats.org/officeDocument/2006/relationships/printerSettings" Target="../printerSettings/printerSettings5.bin"/><Relationship Id="rId7" Type="http://schemas.openxmlformats.org/officeDocument/2006/relationships/hyperlink" Target="https://onlinelibrary.wiley.com/doi/epdf/10.1002/hipo.20685" TargetMode="External"/><Relationship Id="rId12" Type="http://schemas.openxmlformats.org/officeDocument/2006/relationships/hyperlink" Target="https://ac.els-cdn.com/0197458095020322/1-s2.0-0197458095020322-main.pdf?_tid=feedb283-f09d-4c90-8499-fb0e0576b6f0&amp;acdnat=1550855282_4e93e674e11a3e88346bb6c66580510d" TargetMode="External"/><Relationship Id="rId17" Type="http://schemas.openxmlformats.org/officeDocument/2006/relationships/hyperlink" Target="https://www.frontiersin.org/articles/10.3389/fninf.2018.00084/full" TargetMode="External"/><Relationship Id="rId25" Type="http://schemas.openxmlformats.org/officeDocument/2006/relationships/table" Target="../tables/table10.xml"/><Relationship Id="rId2" Type="http://schemas.openxmlformats.org/officeDocument/2006/relationships/hyperlink" Target="https://www.sciencedirect.com/science/article/pii/0006899387907931?via%3Dihub" TargetMode="External"/><Relationship Id="rId16" Type="http://schemas.openxmlformats.org/officeDocument/2006/relationships/hyperlink" Target="https://onlinelibrary.wiley.com/doi/epdf/10.1002/hipo.22141" TargetMode="External"/><Relationship Id="rId20" Type="http://schemas.openxmlformats.org/officeDocument/2006/relationships/hyperlink" Target="http://hippocampome.org/php/index.php" TargetMode="External"/><Relationship Id="rId1" Type="http://schemas.openxmlformats.org/officeDocument/2006/relationships/hyperlink" Target="https://www.ncbi.nlm.nih.gov/pmc/articles/PMC3841077/pdf/nihms329119.pdf" TargetMode="External"/><Relationship Id="rId6" Type="http://schemas.openxmlformats.org/officeDocument/2006/relationships/hyperlink" Target="https://www.sciencedirect.com/science/article/pii/S0165027007000349?via%3Dihub" TargetMode="External"/><Relationship Id="rId11" Type="http://schemas.openxmlformats.org/officeDocument/2006/relationships/hyperlink" Target="https://www.pnas.org/content/pnas/93/18/9926.full.pdf" TargetMode="External"/><Relationship Id="rId24" Type="http://schemas.openxmlformats.org/officeDocument/2006/relationships/table" Target="../tables/table9.xml"/><Relationship Id="rId5" Type="http://schemas.openxmlformats.org/officeDocument/2006/relationships/hyperlink" Target="https://search-proquest-com.mutex.gmu.edu/docview/204510876?OpenUrlRefId=info:xri/sid:primo&amp;accountid=14541" TargetMode="External"/><Relationship Id="rId15" Type="http://schemas.openxmlformats.org/officeDocument/2006/relationships/hyperlink" Target="https://www.sciencedirect.com/science/article/pii/S0168010206001829?via%3Dihub" TargetMode="External"/><Relationship Id="rId23" Type="http://schemas.openxmlformats.org/officeDocument/2006/relationships/table" Target="../tables/table8.xml"/><Relationship Id="rId10" Type="http://schemas.openxmlformats.org/officeDocument/2006/relationships/hyperlink" Target="https://www.sciencedirect.com/science/article/pii/S0006899303023655?via%3Dihub" TargetMode="External"/><Relationship Id="rId19" Type="http://schemas.openxmlformats.org/officeDocument/2006/relationships/hyperlink" Target="https://elifesciences.org/articles/09960" TargetMode="External"/><Relationship Id="rId4" Type="http://schemas.openxmlformats.org/officeDocument/2006/relationships/hyperlink" Target="https://link.springer.com/content/pdf/10.1007%2Fs00429-007-0169-6.pdf" TargetMode="External"/><Relationship Id="rId9" Type="http://schemas.openxmlformats.org/officeDocument/2006/relationships/hyperlink" Target="https://onlinelibrary-wiley-com.mutex.gmu.edu/doi/epdf/10.1002/hipo.20221" TargetMode="External"/><Relationship Id="rId14" Type="http://schemas.openxmlformats.org/officeDocument/2006/relationships/hyperlink" Target="https://onlinelibrary.wiley.com/doi/epdf/10.1002/%28SICI%291098-1063%281999%299%3A6%3C668%3A%3AAID-HIPO8%3E3.0.CO%3B2-9" TargetMode="External"/><Relationship Id="rId22"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hyperlink" Target="https://www.izhikevich.org/publications/spikes.pdf" TargetMode="External"/><Relationship Id="rId7" Type="http://schemas.openxmlformats.org/officeDocument/2006/relationships/table" Target="../tables/table16.xml"/><Relationship Id="rId12" Type="http://schemas.openxmlformats.org/officeDocument/2006/relationships/table" Target="../tables/table21.xml"/><Relationship Id="rId2" Type="http://schemas.openxmlformats.org/officeDocument/2006/relationships/hyperlink" Target="https://www.frontiersin.org/articles/10.3389/fninf.2018.00008/full" TargetMode="External"/><Relationship Id="rId1" Type="http://schemas.openxmlformats.org/officeDocument/2006/relationships/hyperlink" Target="https://www.biorxiv.org/content/10.1101/632430v1.full" TargetMode="External"/><Relationship Id="rId6" Type="http://schemas.openxmlformats.org/officeDocument/2006/relationships/table" Target="../tables/table15.xml"/><Relationship Id="rId11" Type="http://schemas.openxmlformats.org/officeDocument/2006/relationships/table" Target="../tables/table20.xml"/><Relationship Id="rId5" Type="http://schemas.openxmlformats.org/officeDocument/2006/relationships/table" Target="../tables/table14.xml"/><Relationship Id="rId10" Type="http://schemas.openxmlformats.org/officeDocument/2006/relationships/table" Target="../tables/table19.xml"/><Relationship Id="rId4" Type="http://schemas.openxmlformats.org/officeDocument/2006/relationships/printerSettings" Target="../printerSettings/printerSettings8.bin"/><Relationship Id="rId9"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www.ncbi.nlm.nih.gov/pmc/articles/PMC4499477/" TargetMode="External"/><Relationship Id="rId1" Type="http://schemas.openxmlformats.org/officeDocument/2006/relationships/hyperlink" Target="https://www.ncbi.nlm.nih.gov/pmc/articles/PMC5133296/" TargetMode="External"/><Relationship Id="rId4" Type="http://schemas.openxmlformats.org/officeDocument/2006/relationships/table" Target="../tables/table2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17.xml.rels><?xml version="1.0" encoding="UTF-8" standalone="yes"?>
<Relationships xmlns="http://schemas.openxmlformats.org/package/2006/relationships"><Relationship Id="rId8" Type="http://schemas.openxmlformats.org/officeDocument/2006/relationships/table" Target="../tables/table24.xml"/><Relationship Id="rId3" Type="http://schemas.openxmlformats.org/officeDocument/2006/relationships/hyperlink" Target="http://www.jneurosci.org/content/jneuro/18/9/3386.full.pdf" TargetMode="External"/><Relationship Id="rId7" Type="http://schemas.openxmlformats.org/officeDocument/2006/relationships/printerSettings" Target="../printerSettings/printerSettings11.bin"/><Relationship Id="rId2" Type="http://schemas.openxmlformats.org/officeDocument/2006/relationships/hyperlink" Target="https://www.sciencedirect.com/science/article/pii/S0925231204004746?via%3Dihub" TargetMode="External"/><Relationship Id="rId1" Type="http://schemas.openxmlformats.org/officeDocument/2006/relationships/hyperlink" Target="https://onlinelibrary.wiley.com/doi/abs/10.1002/hipo.450030408" TargetMode="External"/><Relationship Id="rId6" Type="http://schemas.openxmlformats.org/officeDocument/2006/relationships/hyperlink" Target="https://onlinelibrary.wiley.com/doi/epdf/10.1002/%28SICI%291096-9861%2819990614%29408%3A4%3C449%3A%3AAID-CNE1%3E3.0.CO%3B2-R" TargetMode="External"/><Relationship Id="rId11" Type="http://schemas.openxmlformats.org/officeDocument/2006/relationships/table" Target="../tables/table27.xml"/><Relationship Id="rId5" Type="http://schemas.openxmlformats.org/officeDocument/2006/relationships/hyperlink" Target="https://www.ncbi.nlm.nih.gov/pmc/articles/PMC4473063/" TargetMode="External"/><Relationship Id="rId10" Type="http://schemas.openxmlformats.org/officeDocument/2006/relationships/table" Target="../tables/table26.xml"/><Relationship Id="rId4" Type="http://schemas.openxmlformats.org/officeDocument/2006/relationships/hyperlink" Target="https://onlinelibrary.wiley.com/doi/epdf/10.1002/hipo.22141" TargetMode="External"/><Relationship Id="rId9" Type="http://schemas.openxmlformats.org/officeDocument/2006/relationships/table" Target="../tables/table25.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90045-373A-41D6-871B-9868E916B422}">
  <dimension ref="A1:A3"/>
  <sheetViews>
    <sheetView workbookViewId="0"/>
  </sheetViews>
  <sheetFormatPr defaultColWidth="8.85546875" defaultRowHeight="15" x14ac:dyDescent="0.25"/>
  <cols>
    <col min="1" max="1" width="132.85546875" customWidth="1"/>
  </cols>
  <sheetData>
    <row r="1" spans="1:1" x14ac:dyDescent="0.25">
      <c r="A1" s="19" t="s">
        <v>607</v>
      </c>
    </row>
    <row r="2" spans="1:1" ht="375" x14ac:dyDescent="0.25">
      <c r="A2" s="76" t="s">
        <v>627</v>
      </c>
    </row>
    <row r="3" spans="1:1" x14ac:dyDescent="0.25">
      <c r="A3" s="19"/>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E0DDA7-C00A-422B-B24D-120C38B9319C}">
  <sheetPr codeName="Sheet1"/>
  <dimension ref="A1:H103"/>
  <sheetViews>
    <sheetView zoomScale="92" zoomScaleNormal="100" workbookViewId="0">
      <selection activeCell="A5" sqref="A5"/>
    </sheetView>
  </sheetViews>
  <sheetFormatPr defaultColWidth="8.85546875" defaultRowHeight="15" x14ac:dyDescent="0.25"/>
  <cols>
    <col min="1" max="1" width="40" customWidth="1"/>
    <col min="2" max="2" width="26" customWidth="1"/>
    <col min="3" max="3" width="22.7109375" customWidth="1"/>
    <col min="4" max="4" width="33.85546875" customWidth="1"/>
    <col min="5" max="5" width="36.140625" customWidth="1"/>
    <col min="6" max="6" width="25.28515625" customWidth="1"/>
    <col min="7" max="7" width="22" customWidth="1"/>
    <col min="8" max="8" width="102" customWidth="1"/>
  </cols>
  <sheetData>
    <row r="1" spans="1:8" x14ac:dyDescent="0.25">
      <c r="A1" s="19" t="s">
        <v>0</v>
      </c>
      <c r="B1" s="9" t="s">
        <v>509</v>
      </c>
      <c r="C1" s="9" t="s">
        <v>510</v>
      </c>
      <c r="D1" s="9" t="s">
        <v>670</v>
      </c>
      <c r="H1" s="19"/>
    </row>
    <row r="2" spans="1:8" ht="73.5" customHeight="1" x14ac:dyDescent="0.25">
      <c r="A2" s="66"/>
      <c r="B2" s="19" t="s">
        <v>1</v>
      </c>
      <c r="C2" s="9">
        <f>SUM(pop_size_neuron_type_internal!B15,pop_size_neuron_type_external!B8,IM_parameters_by_neuron_type!B14,Poisson_rates_external!B5, internal_to_internal_conn_prob!B14,external_to_internal_conn_prob!B5,syn_conds_int_to_int!B13, syn_conds_ext_to_int!B5, syn_resource_release_int_to_int!B11, syn_resource_release_ext_to_int!B5, syn_rec_const_int_to_int!B11, syn_rec_const_ext_to_int!B5, syn_decay_const_int_to_int!B10, syn_decay_const_ext_to_int!B5, syn_facil_const_int_to_int!B10, syn_facil_const_ext_to_int!B5)</f>
        <v>189.595750697</v>
      </c>
      <c r="D2" s="19" t="s">
        <v>673</v>
      </c>
      <c r="E2" s="64"/>
      <c r="F2" s="64"/>
      <c r="G2" t="s">
        <v>313</v>
      </c>
    </row>
    <row r="3" spans="1:8" ht="124.5" customHeight="1" x14ac:dyDescent="0.25">
      <c r="A3" s="68"/>
      <c r="B3" s="19" t="s">
        <v>660</v>
      </c>
      <c r="C3" s="9">
        <f>SUM(pop_size_neuron_type_internal!B16,pop_size_neuron_type_external!B9,IM_parameters_by_neuron_type!B15,Poisson_rates_external!B6, internal_to_internal_conn_prob!B15,external_to_internal_conn_prob!B6,syn_conds_int_to_int!B14, syn_conds_ext_to_int!B6, syn_resource_release_int_to_int!B12, syn_resource_release_ext_to_int!B6, syn_rec_const_int_to_int!B12, syn_rec_const_ext_to_int!B6, syn_decay_const_int_to_int!B11, syn_decay_const_ext_to_int!B6, syn_facil_const_int_to_int!B11, syn_facil_const_ext_to_int!B6)</f>
        <v>10</v>
      </c>
      <c r="D3" s="19" t="s">
        <v>674</v>
      </c>
      <c r="E3" s="64"/>
      <c r="F3" s="64"/>
    </row>
    <row r="4" spans="1:8" ht="60" x14ac:dyDescent="0.25">
      <c r="A4" s="67"/>
      <c r="B4" s="19" t="s">
        <v>2</v>
      </c>
      <c r="C4" s="9">
        <f>SUM(pop_size_neuron_type_internal!B17,pop_size_neuron_type_external!B10,IM_parameters_by_neuron_type!B16,Poisson_rates_external!B7, internal_to_internal_conn_prob!B16,external_to_internal_conn_prob!B7,syn_conds_int_to_int!B15, syn_conds_ext_to_int!B7, syn_resource_release_int_to_int!B13, syn_resource_release_ext_to_int!B7, syn_rec_const_int_to_int!B13, syn_rec_const_ext_to_int!B7, syn_decay_const_int_to_int!B12, syn_decay_const_ext_to_int!B7, syn_facil_const_int_to_int!B12, syn_facil_const_ext_to_int!B7)</f>
        <v>0</v>
      </c>
      <c r="D4" s="19" t="s">
        <v>671</v>
      </c>
      <c r="E4" s="64"/>
      <c r="F4" s="64"/>
    </row>
    <row r="5" spans="1:8" ht="130.5" customHeight="1" x14ac:dyDescent="0.25">
      <c r="A5" s="79"/>
      <c r="B5" s="19" t="s">
        <v>3</v>
      </c>
      <c r="C5" s="9">
        <f>SUM(pop_size_neuron_type_internal!B18,pop_size_neuron_type_external!B11,IM_parameters_by_neuron_type!B17,Poisson_rates_external!B8, internal_to_internal_conn_prob!B17,external_to_internal_conn_prob!B8,syn_conds_int_to_int!B16, syn_conds_ext_to_int!B8, syn_resource_release_int_to_int!B14, syn_resource_release_ext_to_int!B8, syn_rec_const_int_to_int!B14, syn_rec_const_ext_to_int!B8, syn_decay_const_int_to_int!B13, syn_decay_const_ext_to_int!B8, syn_facil_const_int_to_int!B13, syn_facil_const_ext_to_int!B8)</f>
        <v>342</v>
      </c>
      <c r="D5" s="19" t="s">
        <v>675</v>
      </c>
      <c r="E5" s="64"/>
      <c r="F5" s="64"/>
    </row>
    <row r="6" spans="1:8" ht="91.5" customHeight="1" x14ac:dyDescent="0.25">
      <c r="A6" s="78"/>
      <c r="B6" s="19" t="s">
        <v>4</v>
      </c>
      <c r="C6" s="9">
        <f>SUM(pop_size_neuron_type_internal!B19,pop_size_neuron_type_external!B12,IM_parameters_by_neuron_type!B18,Poisson_rates_external!B9, internal_to_internal_conn_prob!B18,external_to_internal_conn_prob!B9,syn_conds_int_to_int!B17, syn_conds_ext_to_int!B9, syn_resource_release_int_to_int!B15, syn_resource_release_ext_to_int!B9, syn_rec_const_int_to_int!B15, syn_rec_const_ext_to_int!B9, syn_decay_const_int_to_int!B14, syn_decay_const_ext_to_int!B9, syn_facil_const_int_to_int!B14, syn_facil_const_ext_to_int!B9)</f>
        <v>329</v>
      </c>
      <c r="D6" s="19" t="s">
        <v>672</v>
      </c>
      <c r="E6" s="75"/>
      <c r="F6" s="75"/>
    </row>
    <row r="7" spans="1:8" x14ac:dyDescent="0.25">
      <c r="C7" s="9">
        <f>SUM(C2:C6)</f>
        <v>870.59575069699997</v>
      </c>
    </row>
    <row r="9" spans="1:8" x14ac:dyDescent="0.25">
      <c r="A9" s="65" t="s">
        <v>5</v>
      </c>
    </row>
    <row r="11" spans="1:8" x14ac:dyDescent="0.25">
      <c r="A11" s="9" t="s">
        <v>6</v>
      </c>
      <c r="B11" s="9" t="s">
        <v>7</v>
      </c>
      <c r="E11" s="9" t="s">
        <v>8</v>
      </c>
      <c r="F11" s="9" t="s">
        <v>7</v>
      </c>
    </row>
    <row r="12" spans="1:8" ht="30" x14ac:dyDescent="0.25">
      <c r="A12" s="19" t="s">
        <v>9</v>
      </c>
      <c r="B12" s="9">
        <f>SUM(pop_size_neuron_type_internal!$B$15:$B$19)</f>
        <v>9</v>
      </c>
      <c r="E12" s="19" t="s">
        <v>10</v>
      </c>
      <c r="F12" s="19">
        <f>SUM(internal_to_internal_conn_prob!$B$14:$B$18)</f>
        <v>65</v>
      </c>
    </row>
    <row r="13" spans="1:8" ht="30" x14ac:dyDescent="0.25">
      <c r="A13" s="19" t="s">
        <v>11</v>
      </c>
      <c r="B13" s="59">
        <f>SUM(pop_size_neuron_type_external!$B$8:$B$12)</f>
        <v>2</v>
      </c>
      <c r="E13" s="19" t="s">
        <v>12</v>
      </c>
      <c r="F13" s="19">
        <f>SUM(external_to_internal_conn_prob!$B$5:$B$9)</f>
        <v>14</v>
      </c>
    </row>
    <row r="14" spans="1:8" ht="30" x14ac:dyDescent="0.25">
      <c r="A14" s="19" t="s">
        <v>13</v>
      </c>
      <c r="B14" s="9">
        <f>SUM(IM_parameters_by_neuron_type!$B$14:$B$18)/2</f>
        <v>40.5</v>
      </c>
      <c r="E14" s="19" t="s">
        <v>14</v>
      </c>
      <c r="F14" s="19">
        <f>SUM(syn_conds_int_to_int!$B$13:$B$17)/2</f>
        <v>65</v>
      </c>
    </row>
    <row r="15" spans="1:8" ht="30" x14ac:dyDescent="0.25">
      <c r="A15" s="19" t="s">
        <v>602</v>
      </c>
      <c r="B15" s="59">
        <f>SUM(Poisson_rates_external!$B$5:$B$9)</f>
        <v>4</v>
      </c>
      <c r="E15" s="19" t="s">
        <v>16</v>
      </c>
      <c r="F15" s="19">
        <f>SUM(syn_conds_ext_to_int!$B$5:$B$9)/2</f>
        <v>14</v>
      </c>
    </row>
    <row r="16" spans="1:8" x14ac:dyDescent="0.25">
      <c r="A16" s="9" t="s">
        <v>15</v>
      </c>
      <c r="B16" s="9">
        <f>SUBTOTAL(109,Table1['# of Parameter PDFs])</f>
        <v>55.5</v>
      </c>
      <c r="E16" s="19" t="s">
        <v>17</v>
      </c>
      <c r="F16" s="19">
        <f>SUM(syn_resource_release_int_to_int!$B$11:$B$15)/2</f>
        <v>48</v>
      </c>
    </row>
    <row r="17" spans="5:6" x14ac:dyDescent="0.25">
      <c r="E17" s="19" t="s">
        <v>18</v>
      </c>
      <c r="F17" s="19">
        <f>SUM(syn_resource_release_ext_to_int!$B$5:$B$9)/2</f>
        <v>14</v>
      </c>
    </row>
    <row r="18" spans="5:6" ht="30" x14ac:dyDescent="0.25">
      <c r="E18" s="19" t="s">
        <v>19</v>
      </c>
      <c r="F18" s="19">
        <f>SUM(syn_rec_const_int_to_int!$B$11:$B$15)/2</f>
        <v>48</v>
      </c>
    </row>
    <row r="19" spans="5:6" ht="30" x14ac:dyDescent="0.25">
      <c r="E19" s="19" t="s">
        <v>20</v>
      </c>
      <c r="F19" s="19">
        <f>SUM(syn_rec_const_ext_to_int!$B$5:$B$9)/2</f>
        <v>14</v>
      </c>
    </row>
    <row r="20" spans="5:6" ht="30" x14ac:dyDescent="0.25">
      <c r="E20" s="19" t="s">
        <v>21</v>
      </c>
      <c r="F20" s="19">
        <f>SUM(syn_decay_const_int_to_int!$B$10:$B$14)/2</f>
        <v>52.083773688500003</v>
      </c>
    </row>
    <row r="21" spans="5:6" ht="30" x14ac:dyDescent="0.25">
      <c r="E21" s="19" t="s">
        <v>22</v>
      </c>
      <c r="F21" s="19">
        <f>SUM(syn_decay_const_ext_to_int!$B$5:$B$9)/2</f>
        <v>14</v>
      </c>
    </row>
    <row r="22" spans="5:6" ht="30" x14ac:dyDescent="0.25">
      <c r="E22" s="19" t="s">
        <v>23</v>
      </c>
      <c r="F22" s="19">
        <f>SUM(syn_facil_const_int_to_int!$B$10:$B$14)/2</f>
        <v>64.714101659999997</v>
      </c>
    </row>
    <row r="23" spans="5:6" ht="30" x14ac:dyDescent="0.25">
      <c r="E23" s="19" t="s">
        <v>24</v>
      </c>
      <c r="F23" s="19">
        <f>SUM(syn_facil_const_ext_to_int!$B$5:$B$9)/2</f>
        <v>14</v>
      </c>
    </row>
    <row r="24" spans="5:6" x14ac:dyDescent="0.25">
      <c r="E24" s="9" t="s">
        <v>15</v>
      </c>
      <c r="F24" s="9">
        <f>SUBTOTAL(109,Table2['# of Parameter PDFs])</f>
        <v>426.79787534849999</v>
      </c>
    </row>
    <row r="35" spans="1:2" x14ac:dyDescent="0.25">
      <c r="A35" s="9" t="s">
        <v>25</v>
      </c>
      <c r="B35" s="9" t="s">
        <v>7</v>
      </c>
    </row>
    <row r="36" spans="1:2" x14ac:dyDescent="0.25">
      <c r="A36" s="19" t="s">
        <v>9</v>
      </c>
      <c r="B36" s="9">
        <f>B12</f>
        <v>9</v>
      </c>
    </row>
    <row r="37" spans="1:2" x14ac:dyDescent="0.25">
      <c r="A37" s="19" t="s">
        <v>11</v>
      </c>
      <c r="B37" s="59">
        <f>B13</f>
        <v>2</v>
      </c>
    </row>
    <row r="38" spans="1:2" ht="30" x14ac:dyDescent="0.25">
      <c r="A38" s="19" t="s">
        <v>603</v>
      </c>
      <c r="B38" s="9">
        <f>B14</f>
        <v>40.5</v>
      </c>
    </row>
    <row r="39" spans="1:2" x14ac:dyDescent="0.25">
      <c r="A39" s="19" t="s">
        <v>600</v>
      </c>
      <c r="B39" s="9">
        <f>B15</f>
        <v>4</v>
      </c>
    </row>
    <row r="40" spans="1:2" ht="30" x14ac:dyDescent="0.25">
      <c r="A40" s="19" t="s">
        <v>10</v>
      </c>
      <c r="B40" s="19">
        <f>F12</f>
        <v>65</v>
      </c>
    </row>
    <row r="41" spans="1:2" ht="30" x14ac:dyDescent="0.25">
      <c r="A41" s="19" t="s">
        <v>12</v>
      </c>
      <c r="B41" s="19">
        <f t="shared" ref="B41" si="0">F13</f>
        <v>14</v>
      </c>
    </row>
    <row r="42" spans="1:2" ht="30" x14ac:dyDescent="0.25">
      <c r="A42" s="19" t="s">
        <v>14</v>
      </c>
      <c r="B42" s="19">
        <f t="shared" ref="B42:B51" si="1">F14</f>
        <v>65</v>
      </c>
    </row>
    <row r="43" spans="1:2" ht="30" x14ac:dyDescent="0.25">
      <c r="A43" s="19" t="s">
        <v>16</v>
      </c>
      <c r="B43" s="19">
        <f t="shared" si="1"/>
        <v>14</v>
      </c>
    </row>
    <row r="44" spans="1:2" x14ac:dyDescent="0.25">
      <c r="A44" s="19" t="s">
        <v>17</v>
      </c>
      <c r="B44" s="19">
        <f t="shared" si="1"/>
        <v>48</v>
      </c>
    </row>
    <row r="45" spans="1:2" x14ac:dyDescent="0.25">
      <c r="A45" s="19" t="s">
        <v>18</v>
      </c>
      <c r="B45" s="19">
        <f t="shared" si="1"/>
        <v>14</v>
      </c>
    </row>
    <row r="46" spans="1:2" ht="30" x14ac:dyDescent="0.25">
      <c r="A46" s="19" t="s">
        <v>19</v>
      </c>
      <c r="B46" s="19">
        <f t="shared" si="1"/>
        <v>48</v>
      </c>
    </row>
    <row r="47" spans="1:2" ht="30" x14ac:dyDescent="0.25">
      <c r="A47" s="19" t="s">
        <v>20</v>
      </c>
      <c r="B47" s="19">
        <f t="shared" si="1"/>
        <v>14</v>
      </c>
    </row>
    <row r="48" spans="1:2" ht="30" x14ac:dyDescent="0.25">
      <c r="A48" s="19" t="s">
        <v>21</v>
      </c>
      <c r="B48" s="19">
        <f t="shared" si="1"/>
        <v>52.083773688500003</v>
      </c>
    </row>
    <row r="49" spans="1:6" ht="30" x14ac:dyDescent="0.25">
      <c r="A49" s="19" t="s">
        <v>22</v>
      </c>
      <c r="B49" s="19">
        <f t="shared" si="1"/>
        <v>14</v>
      </c>
    </row>
    <row r="50" spans="1:6" ht="30" x14ac:dyDescent="0.25">
      <c r="A50" s="19" t="s">
        <v>23</v>
      </c>
      <c r="B50" s="19">
        <f t="shared" si="1"/>
        <v>64.714101659999997</v>
      </c>
    </row>
    <row r="51" spans="1:6" ht="30" x14ac:dyDescent="0.25">
      <c r="A51" s="19" t="s">
        <v>24</v>
      </c>
      <c r="B51" s="19">
        <f t="shared" si="1"/>
        <v>14</v>
      </c>
    </row>
    <row r="52" spans="1:6" x14ac:dyDescent="0.25">
      <c r="A52" s="9" t="s">
        <v>15</v>
      </c>
      <c r="B52" s="9">
        <f>SUBTOTAL(109,Table4['# of Parameter PDFs])</f>
        <v>482.29787534849999</v>
      </c>
    </row>
    <row r="60" spans="1:6" x14ac:dyDescent="0.25">
      <c r="A60" t="s">
        <v>26</v>
      </c>
    </row>
    <row r="62" spans="1:6" x14ac:dyDescent="0.25">
      <c r="A62" s="19" t="s">
        <v>6</v>
      </c>
      <c r="B62" s="19" t="s">
        <v>7</v>
      </c>
      <c r="E62" s="19" t="s">
        <v>8</v>
      </c>
      <c r="F62" s="19" t="s">
        <v>7</v>
      </c>
    </row>
    <row r="63" spans="1:6" ht="30" x14ac:dyDescent="0.25">
      <c r="A63" s="19" t="s">
        <v>9</v>
      </c>
      <c r="B63" s="9">
        <f>SUM(pop_size_neuron_type_internal!$B$15:$B$19)</f>
        <v>9</v>
      </c>
      <c r="E63" s="19" t="s">
        <v>10</v>
      </c>
      <c r="F63" s="19">
        <f>SUM(internal_to_internal_conn_prob!$B$14:$B$18)</f>
        <v>65</v>
      </c>
    </row>
    <row r="64" spans="1:6" ht="30" x14ac:dyDescent="0.25">
      <c r="A64" s="19" t="s">
        <v>11</v>
      </c>
      <c r="B64" s="59">
        <f>SUM(pop_size_neuron_type_external!$B$8:$B$12)</f>
        <v>2</v>
      </c>
      <c r="E64" s="19" t="s">
        <v>12</v>
      </c>
      <c r="F64" s="19">
        <f>SUM(external_to_internal_conn_prob!$B$5:$B$9)</f>
        <v>14</v>
      </c>
    </row>
    <row r="65" spans="1:6" ht="30" x14ac:dyDescent="0.25">
      <c r="A65" s="19" t="s">
        <v>603</v>
      </c>
      <c r="B65" s="9">
        <f>SUM(IM_parameters_by_neuron_type!$B$14:$B$18)</f>
        <v>81</v>
      </c>
      <c r="E65" s="19" t="s">
        <v>14</v>
      </c>
      <c r="F65" s="19">
        <f>SUM(syn_conds_int_to_int!$B$13:$B$17)</f>
        <v>130</v>
      </c>
    </row>
    <row r="66" spans="1:6" ht="30" x14ac:dyDescent="0.25">
      <c r="A66" s="19" t="s">
        <v>602</v>
      </c>
      <c r="B66" s="59">
        <f>SUM(Poisson_rates_external!$B$5:$B$9)</f>
        <v>4</v>
      </c>
      <c r="E66" s="19" t="s">
        <v>16</v>
      </c>
      <c r="F66" s="19">
        <f>SUM(syn_conds_ext_to_int!$B$5:$B$9)</f>
        <v>28</v>
      </c>
    </row>
    <row r="67" spans="1:6" x14ac:dyDescent="0.25">
      <c r="A67" s="19" t="s">
        <v>15</v>
      </c>
      <c r="B67" s="19">
        <f>SUBTOTAL(109,Table16['# of Parameter PDFs])</f>
        <v>96</v>
      </c>
      <c r="E67" s="19" t="s">
        <v>17</v>
      </c>
      <c r="F67" s="19">
        <f>SUM(syn_resource_release_int_to_int!$B$11:$B$15)</f>
        <v>96</v>
      </c>
    </row>
    <row r="68" spans="1:6" x14ac:dyDescent="0.25">
      <c r="E68" s="19" t="s">
        <v>18</v>
      </c>
      <c r="F68" s="19">
        <f>SUM(syn_resource_release_ext_to_int!$B$5:$B$9)</f>
        <v>28</v>
      </c>
    </row>
    <row r="69" spans="1:6" ht="30" x14ac:dyDescent="0.25">
      <c r="E69" s="19" t="s">
        <v>19</v>
      </c>
      <c r="F69" s="19">
        <f>SUM(syn_rec_const_int_to_int!$B$11:$B$15)</f>
        <v>96</v>
      </c>
    </row>
    <row r="70" spans="1:6" ht="30" x14ac:dyDescent="0.25">
      <c r="E70" s="19" t="s">
        <v>20</v>
      </c>
      <c r="F70" s="19">
        <f>SUM(syn_rec_const_ext_to_int!$B$5:$B$9)</f>
        <v>28</v>
      </c>
    </row>
    <row r="71" spans="1:6" ht="30" x14ac:dyDescent="0.25">
      <c r="E71" s="19" t="s">
        <v>21</v>
      </c>
      <c r="F71" s="19">
        <f>SUM(syn_decay_const_int_to_int!$B$10:$B$14)</f>
        <v>104.16754737700001</v>
      </c>
    </row>
    <row r="72" spans="1:6" ht="30" x14ac:dyDescent="0.25">
      <c r="E72" s="19" t="s">
        <v>22</v>
      </c>
      <c r="F72" s="19">
        <f>SUM(syn_decay_const_ext_to_int!$B$5:$B$9)</f>
        <v>28</v>
      </c>
    </row>
    <row r="73" spans="1:6" ht="30" x14ac:dyDescent="0.25">
      <c r="E73" s="19" t="s">
        <v>23</v>
      </c>
      <c r="F73" s="19">
        <f>SUM(syn_facil_const_int_to_int!$B$10:$B$14)</f>
        <v>129.42820331999999</v>
      </c>
    </row>
    <row r="74" spans="1:6" ht="30" x14ac:dyDescent="0.25">
      <c r="E74" s="19" t="s">
        <v>24</v>
      </c>
      <c r="F74" s="19">
        <f>SUM(syn_facil_const_ext_to_int!$B$5:$B$9)</f>
        <v>28</v>
      </c>
    </row>
    <row r="75" spans="1:6" x14ac:dyDescent="0.25">
      <c r="E75" s="19" t="s">
        <v>15</v>
      </c>
      <c r="F75" s="19">
        <f>SUBTOTAL(109,Table27['# of Parameter PDFs])</f>
        <v>774.59575069699997</v>
      </c>
    </row>
    <row r="86" spans="1:7" x14ac:dyDescent="0.25">
      <c r="A86" s="91" t="s">
        <v>25</v>
      </c>
      <c r="B86" s="91" t="s">
        <v>7</v>
      </c>
      <c r="C86" s="86" t="s">
        <v>661</v>
      </c>
      <c r="D86" s="88" t="s">
        <v>662</v>
      </c>
      <c r="E86" s="87" t="s">
        <v>663</v>
      </c>
      <c r="F86" s="89" t="s">
        <v>664</v>
      </c>
      <c r="G86" s="90" t="s">
        <v>665</v>
      </c>
    </row>
    <row r="87" spans="1:7" x14ac:dyDescent="0.25">
      <c r="A87" s="19" t="s">
        <v>9</v>
      </c>
      <c r="B87" s="9">
        <f>B63</f>
        <v>9</v>
      </c>
      <c r="C87" s="9">
        <f>(pop_size_neuron_type_internal!B15)</f>
        <v>1</v>
      </c>
      <c r="D87" s="9">
        <f>(pop_size_neuron_type_internal!B16)</f>
        <v>8</v>
      </c>
      <c r="E87" s="9">
        <f>(pop_size_neuron_type_internal!B17)</f>
        <v>0</v>
      </c>
      <c r="F87" s="9">
        <f>(pop_size_neuron_type_internal!B18)</f>
        <v>0</v>
      </c>
      <c r="G87" s="9">
        <f>(pop_size_neuron_type_internal!B19)</f>
        <v>0</v>
      </c>
    </row>
    <row r="88" spans="1:7" x14ac:dyDescent="0.25">
      <c r="A88" s="19" t="s">
        <v>11</v>
      </c>
      <c r="B88" s="9">
        <f>B64</f>
        <v>2</v>
      </c>
      <c r="C88" s="9">
        <f>(pop_size_neuron_type_external!B8)</f>
        <v>1</v>
      </c>
      <c r="D88" s="9">
        <f>(pop_size_neuron_type_external!B9)</f>
        <v>1</v>
      </c>
      <c r="E88" s="9">
        <f>(pop_size_neuron_type_external!B10)</f>
        <v>0</v>
      </c>
      <c r="F88" s="9">
        <f>(pop_size_neuron_type_external!B11)</f>
        <v>0</v>
      </c>
      <c r="G88" s="9">
        <f>(pop_size_neuron_type_external!B12)</f>
        <v>0</v>
      </c>
    </row>
    <row r="89" spans="1:7" ht="30" x14ac:dyDescent="0.25">
      <c r="A89" s="19" t="s">
        <v>603</v>
      </c>
      <c r="B89" s="9">
        <f>B65</f>
        <v>81</v>
      </c>
      <c r="C89" s="9">
        <f>(IM_parameters_by_neuron_type!B14)</f>
        <v>81</v>
      </c>
      <c r="D89" s="9">
        <f>(IM_parameters_by_neuron_type!B15)</f>
        <v>0</v>
      </c>
      <c r="E89" s="9">
        <f>(IM_parameters_by_neuron_type!B16)</f>
        <v>0</v>
      </c>
      <c r="F89" s="9">
        <f>(IM_parameters_by_neuron_type!B17)</f>
        <v>0</v>
      </c>
      <c r="G89" s="9">
        <f>(IM_parameters_by_neuron_type!B18)</f>
        <v>0</v>
      </c>
    </row>
    <row r="90" spans="1:7" x14ac:dyDescent="0.25">
      <c r="A90" s="19" t="s">
        <v>602</v>
      </c>
      <c r="B90" s="9">
        <f>B66</f>
        <v>4</v>
      </c>
      <c r="C90" s="9">
        <f>(Poisson_rates_external!B5)</f>
        <v>1</v>
      </c>
      <c r="D90" s="9">
        <f>(Poisson_rates_external!B6)</f>
        <v>1</v>
      </c>
      <c r="E90" s="9">
        <f>(Poisson_rates_external!B7)</f>
        <v>0</v>
      </c>
      <c r="F90" s="9">
        <f>(Poisson_rates_external!B8)</f>
        <v>0</v>
      </c>
      <c r="G90" s="9">
        <f>(Poisson_rates_external!B9)</f>
        <v>2</v>
      </c>
    </row>
    <row r="91" spans="1:7" ht="30" x14ac:dyDescent="0.25">
      <c r="A91" s="19" t="s">
        <v>10</v>
      </c>
      <c r="B91" s="19">
        <f t="shared" ref="B91:B102" si="2">F63</f>
        <v>65</v>
      </c>
      <c r="C91" s="9">
        <f>(internal_to_internal_conn_prob!B14)</f>
        <v>50</v>
      </c>
      <c r="D91" s="9">
        <f>(internal_to_internal_conn_prob!B15)</f>
        <v>0</v>
      </c>
      <c r="E91" s="9">
        <f>(internal_to_internal_conn_prob!B16)</f>
        <v>0</v>
      </c>
      <c r="F91" s="9">
        <f>(internal_to_internal_conn_prob!B17)</f>
        <v>15</v>
      </c>
      <c r="G91" s="9">
        <f>(internal_to_internal_conn_prob!B18)</f>
        <v>0</v>
      </c>
    </row>
    <row r="92" spans="1:7" ht="30" x14ac:dyDescent="0.25">
      <c r="A92" s="19" t="s">
        <v>12</v>
      </c>
      <c r="B92" s="19">
        <f t="shared" si="2"/>
        <v>14</v>
      </c>
      <c r="C92" s="9">
        <f>(external_to_internal_conn_prob!B5)</f>
        <v>14</v>
      </c>
      <c r="D92" s="9">
        <f>(external_to_internal_conn_prob!B6)</f>
        <v>0</v>
      </c>
      <c r="E92" s="9">
        <f>(external_to_internal_conn_prob!B7)</f>
        <v>0</v>
      </c>
      <c r="F92" s="9">
        <f>(external_to_internal_conn_prob!B8)</f>
        <v>0</v>
      </c>
      <c r="G92" s="9">
        <f>(external_to_internal_conn_prob!B9)</f>
        <v>0</v>
      </c>
    </row>
    <row r="93" spans="1:7" ht="30" x14ac:dyDescent="0.25">
      <c r="A93" s="19" t="s">
        <v>14</v>
      </c>
      <c r="B93" s="19">
        <f t="shared" si="2"/>
        <v>130</v>
      </c>
      <c r="C93" s="9">
        <f>(syn_conds_int_to_int!B13)</f>
        <v>0</v>
      </c>
      <c r="D93" s="9">
        <f>(syn_conds_int_to_int!B14)</f>
        <v>0</v>
      </c>
      <c r="E93" s="9">
        <f>(syn_conds_int_to_int!B15)</f>
        <v>0</v>
      </c>
      <c r="F93" s="9">
        <f>(syn_conds_int_to_int!B16)</f>
        <v>65</v>
      </c>
      <c r="G93" s="9">
        <f>(syn_conds_int_to_int!B17)</f>
        <v>65</v>
      </c>
    </row>
    <row r="94" spans="1:7" ht="30" x14ac:dyDescent="0.25">
      <c r="A94" s="19" t="s">
        <v>16</v>
      </c>
      <c r="B94" s="19">
        <f t="shared" si="2"/>
        <v>28</v>
      </c>
      <c r="C94" s="9">
        <f>(syn_conds_ext_to_int!B5)</f>
        <v>0</v>
      </c>
      <c r="D94" s="9">
        <f>(syn_conds_ext_to_int!B6)</f>
        <v>0</v>
      </c>
      <c r="E94" s="9">
        <f>(syn_conds_ext_to_int!B7)</f>
        <v>0</v>
      </c>
      <c r="F94" s="9">
        <f>(syn_conds_ext_to_int!B8)</f>
        <v>14</v>
      </c>
      <c r="G94" s="9">
        <f>(syn_conds_ext_to_int!B9)</f>
        <v>14</v>
      </c>
    </row>
    <row r="95" spans="1:7" x14ac:dyDescent="0.25">
      <c r="A95" s="19" t="s">
        <v>17</v>
      </c>
      <c r="B95" s="19">
        <f t="shared" si="2"/>
        <v>96</v>
      </c>
      <c r="C95" s="9">
        <f>(syn_resource_release_int_to_int!B11)</f>
        <v>0</v>
      </c>
      <c r="D95" s="9">
        <f>(syn_resource_release_int_to_int!B12)</f>
        <v>0</v>
      </c>
      <c r="E95" s="9">
        <f>(syn_resource_release_int_to_int!B13)</f>
        <v>0</v>
      </c>
      <c r="F95" s="9">
        <f>(syn_resource_release_int_to_int!B14)</f>
        <v>48</v>
      </c>
      <c r="G95" s="9">
        <f>(syn_resource_release_int_to_int!B15)</f>
        <v>48</v>
      </c>
    </row>
    <row r="96" spans="1:7" x14ac:dyDescent="0.25">
      <c r="A96" s="19" t="s">
        <v>18</v>
      </c>
      <c r="B96" s="19">
        <f t="shared" si="2"/>
        <v>28</v>
      </c>
      <c r="C96" s="9">
        <f>(syn_resource_release_ext_to_int!B5)</f>
        <v>0</v>
      </c>
      <c r="D96" s="9">
        <f>(syn_resource_release_ext_to_int!B6)</f>
        <v>0</v>
      </c>
      <c r="E96" s="9">
        <f>(syn_resource_release_ext_to_int!B7)</f>
        <v>0</v>
      </c>
      <c r="F96" s="9">
        <f>(syn_resource_release_ext_to_int!B8)</f>
        <v>14</v>
      </c>
      <c r="G96" s="9">
        <f>(syn_resource_release_ext_to_int!B9)</f>
        <v>14</v>
      </c>
    </row>
    <row r="97" spans="1:7" ht="30" x14ac:dyDescent="0.25">
      <c r="A97" s="19" t="s">
        <v>19</v>
      </c>
      <c r="B97" s="19">
        <f t="shared" si="2"/>
        <v>96</v>
      </c>
      <c r="C97" s="9">
        <f>(syn_rec_const_int_to_int!B11)</f>
        <v>0</v>
      </c>
      <c r="D97" s="9">
        <f>(syn_rec_const_int_to_int!B12)</f>
        <v>0</v>
      </c>
      <c r="E97" s="9">
        <f>(syn_rec_const_int_to_int!B13)</f>
        <v>0</v>
      </c>
      <c r="F97" s="9">
        <f>(syn_rec_const_int_to_int!B14)</f>
        <v>48</v>
      </c>
      <c r="G97" s="9">
        <f>(syn_rec_const_int_to_int!B15)</f>
        <v>48</v>
      </c>
    </row>
    <row r="98" spans="1:7" ht="30" x14ac:dyDescent="0.25">
      <c r="A98" s="19" t="s">
        <v>20</v>
      </c>
      <c r="B98" s="19">
        <f t="shared" si="2"/>
        <v>28</v>
      </c>
      <c r="C98" s="9">
        <f>(syn_rec_const_ext_to_int!B5)</f>
        <v>0</v>
      </c>
      <c r="D98" s="9">
        <f>(syn_rec_const_ext_to_int!B6)</f>
        <v>0</v>
      </c>
      <c r="E98" s="9">
        <f>(syn_rec_const_ext_to_int!B7)</f>
        <v>0</v>
      </c>
      <c r="F98" s="9">
        <f>(syn_rec_const_ext_to_int!B8)</f>
        <v>14</v>
      </c>
      <c r="G98" s="9">
        <f>(syn_rec_const_ext_to_int!B9)</f>
        <v>14</v>
      </c>
    </row>
    <row r="99" spans="1:7" ht="30" x14ac:dyDescent="0.25">
      <c r="A99" s="19" t="s">
        <v>21</v>
      </c>
      <c r="B99" s="19">
        <f t="shared" si="2"/>
        <v>104.16754737700001</v>
      </c>
      <c r="C99" s="9">
        <f>(syn_decay_const_int_to_int!B10)</f>
        <v>8.167547377</v>
      </c>
      <c r="D99" s="9">
        <f>(syn_decay_const_int_to_int!B11)</f>
        <v>0</v>
      </c>
      <c r="E99" s="9">
        <f>(syn_decay_const_int_to_int!B12)</f>
        <v>0</v>
      </c>
      <c r="F99" s="9">
        <f>(syn_decay_const_int_to_int!B13)</f>
        <v>48</v>
      </c>
      <c r="G99" s="9">
        <f>(syn_decay_const_int_to_int!B14)</f>
        <v>48</v>
      </c>
    </row>
    <row r="100" spans="1:7" ht="30" x14ac:dyDescent="0.25">
      <c r="A100" s="19" t="s">
        <v>22</v>
      </c>
      <c r="B100" s="19">
        <f t="shared" si="2"/>
        <v>28</v>
      </c>
      <c r="C100" s="9">
        <f>(syn_decay_const_ext_to_int!B5)</f>
        <v>0</v>
      </c>
      <c r="D100" s="9">
        <f>(syn_decay_const_ext_to_int!B6)</f>
        <v>0</v>
      </c>
      <c r="E100" s="9">
        <f>(syn_decay_const_ext_to_int!B7)</f>
        <v>0</v>
      </c>
      <c r="F100" s="9">
        <f>(syn_decay_const_ext_to_int!B8)</f>
        <v>14</v>
      </c>
      <c r="G100" s="9">
        <f>(syn_decay_const_ext_to_int!B9)</f>
        <v>14</v>
      </c>
    </row>
    <row r="101" spans="1:7" ht="30" x14ac:dyDescent="0.25">
      <c r="A101" s="19" t="s">
        <v>23</v>
      </c>
      <c r="B101" s="19">
        <f t="shared" si="2"/>
        <v>129.42820331999999</v>
      </c>
      <c r="C101" s="9">
        <f>(syn_facil_const_int_to_int!B10)</f>
        <v>33.428203320000001</v>
      </c>
      <c r="D101" s="9">
        <f>(syn_facil_const_int_to_int!B11)</f>
        <v>0</v>
      </c>
      <c r="E101" s="9">
        <f>(syn_facil_const_int_to_int!B12)</f>
        <v>0</v>
      </c>
      <c r="F101" s="9">
        <f>(syn_facil_const_int_to_int!B13)</f>
        <v>48</v>
      </c>
      <c r="G101" s="9">
        <f>(syn_facil_const_int_to_int!B14)</f>
        <v>48</v>
      </c>
    </row>
    <row r="102" spans="1:7" ht="30" x14ac:dyDescent="0.25">
      <c r="A102" s="19" t="s">
        <v>24</v>
      </c>
      <c r="B102" s="19">
        <f t="shared" si="2"/>
        <v>28</v>
      </c>
      <c r="C102" s="9">
        <f>(syn_facil_const_ext_to_int!B5)</f>
        <v>0</v>
      </c>
      <c r="D102" s="9">
        <f>(syn_facil_const_ext_to_int!B6)</f>
        <v>0</v>
      </c>
      <c r="E102" s="9">
        <f>(syn_facil_const_ext_to_int!B7)</f>
        <v>0</v>
      </c>
      <c r="F102" s="9">
        <f>(syn_facil_const_ext_to_int!B8)</f>
        <v>14</v>
      </c>
      <c r="G102" s="9">
        <f>(syn_facil_const_ext_to_int!B9)</f>
        <v>14</v>
      </c>
    </row>
    <row r="103" spans="1:7" x14ac:dyDescent="0.25">
      <c r="A103" s="9" t="s">
        <v>15</v>
      </c>
      <c r="B103" s="9">
        <f>SUBTOTAL(109,Table48['# of Parameter PDFs])</f>
        <v>870.59575069699997</v>
      </c>
      <c r="C103" s="9">
        <f>SUBTOTAL(109,Table48[Estimate Level 1])</f>
        <v>189.595750697</v>
      </c>
      <c r="D103" s="9">
        <f>SUBTOTAL(109,Table48[Estimate Level 2])</f>
        <v>10</v>
      </c>
      <c r="E103" s="9">
        <f>SUBTOTAL(109,Table48[Estimate Level 3])</f>
        <v>0</v>
      </c>
      <c r="F103" s="9">
        <f>SUBTOTAL(109,Table48[Estimate Level 4])</f>
        <v>342</v>
      </c>
      <c r="G103" s="9">
        <f>SUBTOTAL(109,Table48[Estimate Level 5])</f>
        <v>329</v>
      </c>
    </row>
  </sheetData>
  <pageMargins left="0.7" right="0.7" top="0.75" bottom="0.75" header="0.3" footer="0.3"/>
  <pageSetup orientation="portrait" verticalDpi="0" r:id="rId1"/>
  <ignoredErrors>
    <ignoredError sqref="B12:B15 C87:C102 D88:G102" calculatedColumn="1"/>
  </ignoredErrors>
  <tableParts count="6">
    <tablePart r:id="rId2"/>
    <tablePart r:id="rId3"/>
    <tablePart r:id="rId4"/>
    <tablePart r:id="rId5"/>
    <tablePart r:id="rId6"/>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219A3-203E-415B-8342-00257F6478CB}">
  <sheetPr codeName="Sheet25"/>
  <dimension ref="A1:K32"/>
  <sheetViews>
    <sheetView zoomScale="88" workbookViewId="0"/>
  </sheetViews>
  <sheetFormatPr defaultColWidth="8.85546875" defaultRowHeight="15" x14ac:dyDescent="0.25"/>
  <cols>
    <col min="1" max="1" width="20.7109375" customWidth="1"/>
    <col min="2" max="2" width="29.28515625" customWidth="1"/>
    <col min="3" max="3" width="16" customWidth="1"/>
    <col min="4" max="4" width="27.42578125" customWidth="1"/>
    <col min="7" max="7" width="16.7109375" customWidth="1"/>
    <col min="9" max="9" width="21.7109375" customWidth="1"/>
    <col min="10" max="10" width="13.85546875" customWidth="1"/>
    <col min="11" max="11" width="27" customWidth="1"/>
    <col min="12" max="12" width="17.7109375" customWidth="1"/>
  </cols>
  <sheetData>
    <row r="1" spans="1:11" ht="90" x14ac:dyDescent="0.25">
      <c r="A1" s="19" t="s">
        <v>511</v>
      </c>
      <c r="B1" s="19" t="s">
        <v>512</v>
      </c>
      <c r="C1" s="19" t="s">
        <v>513</v>
      </c>
      <c r="D1" s="19" t="s">
        <v>514</v>
      </c>
      <c r="G1" s="19" t="s">
        <v>579</v>
      </c>
      <c r="H1" s="71"/>
      <c r="I1" s="19" t="s">
        <v>580</v>
      </c>
      <c r="J1" s="19">
        <f>SUM(B5,B7,B16, B23:B25, B30)</f>
        <v>134</v>
      </c>
      <c r="K1" s="19" t="s">
        <v>666</v>
      </c>
    </row>
    <row r="2" spans="1:11" ht="60" x14ac:dyDescent="0.25">
      <c r="A2" s="69" t="s">
        <v>515</v>
      </c>
      <c r="B2" s="19">
        <v>1</v>
      </c>
      <c r="C2" s="19" t="s">
        <v>516</v>
      </c>
      <c r="D2" s="19" t="s">
        <v>517</v>
      </c>
      <c r="G2" s="19" t="s">
        <v>581</v>
      </c>
      <c r="H2" s="69"/>
      <c r="I2" s="19" t="s">
        <v>582</v>
      </c>
      <c r="J2" s="19">
        <f>SUM(B2:B4, B11:B15, B17, B26:B29)</f>
        <v>267</v>
      </c>
      <c r="K2" s="19" t="s">
        <v>667</v>
      </c>
    </row>
    <row r="3" spans="1:11" ht="90" x14ac:dyDescent="0.25">
      <c r="A3" s="69" t="s">
        <v>518</v>
      </c>
      <c r="B3" s="19">
        <v>1</v>
      </c>
      <c r="C3" s="19">
        <v>0</v>
      </c>
      <c r="D3" s="19" t="s">
        <v>519</v>
      </c>
      <c r="G3" s="19" t="s">
        <v>583</v>
      </c>
      <c r="H3" s="70"/>
      <c r="I3" s="19" t="s">
        <v>659</v>
      </c>
      <c r="J3" s="19">
        <f>SUM(B6,B8:B10,B18:B19,B21:B22,B31)</f>
        <v>326</v>
      </c>
      <c r="K3" s="19" t="s">
        <v>668</v>
      </c>
    </row>
    <row r="4" spans="1:11" ht="90" x14ac:dyDescent="0.25">
      <c r="A4" s="69" t="s">
        <v>520</v>
      </c>
      <c r="B4" s="19">
        <v>1</v>
      </c>
      <c r="C4" s="19">
        <v>-1</v>
      </c>
      <c r="D4" s="19" t="s">
        <v>521</v>
      </c>
      <c r="G4" s="19" t="s">
        <v>606</v>
      </c>
      <c r="H4" s="73"/>
      <c r="I4" s="19" t="s">
        <v>624</v>
      </c>
      <c r="J4" s="19">
        <f>SUM(B20)</f>
        <v>80</v>
      </c>
      <c r="K4" s="19" t="s">
        <v>669</v>
      </c>
    </row>
    <row r="5" spans="1:11" ht="30" x14ac:dyDescent="0.25">
      <c r="A5" s="71" t="s">
        <v>522</v>
      </c>
      <c r="B5" s="19">
        <v>1</v>
      </c>
      <c r="C5" s="19">
        <v>5</v>
      </c>
      <c r="D5" s="19" t="s">
        <v>523</v>
      </c>
      <c r="G5" s="19"/>
      <c r="H5" s="75"/>
      <c r="I5" s="19"/>
      <c r="J5" s="19"/>
    </row>
    <row r="6" spans="1:11" ht="30" x14ac:dyDescent="0.25">
      <c r="A6" s="70" t="s">
        <v>524</v>
      </c>
      <c r="B6" s="19">
        <v>1</v>
      </c>
      <c r="C6" s="19">
        <v>150</v>
      </c>
      <c r="D6" s="19" t="s">
        <v>525</v>
      </c>
    </row>
    <row r="7" spans="1:11" ht="30" x14ac:dyDescent="0.25">
      <c r="A7" s="71" t="s">
        <v>526</v>
      </c>
      <c r="B7" s="19">
        <v>1</v>
      </c>
      <c r="C7" s="19">
        <v>6</v>
      </c>
      <c r="D7" s="19" t="s">
        <v>527</v>
      </c>
    </row>
    <row r="8" spans="1:11" ht="30" x14ac:dyDescent="0.25">
      <c r="A8" s="70" t="s">
        <v>528</v>
      </c>
      <c r="B8" s="19">
        <v>1</v>
      </c>
      <c r="C8" s="19">
        <v>150</v>
      </c>
      <c r="D8" s="19" t="s">
        <v>529</v>
      </c>
    </row>
    <row r="9" spans="1:11" ht="30" x14ac:dyDescent="0.25">
      <c r="A9" s="70" t="s">
        <v>530</v>
      </c>
      <c r="B9" s="19">
        <v>1</v>
      </c>
      <c r="C9" s="19">
        <v>0</v>
      </c>
      <c r="D9" s="19" t="s">
        <v>531</v>
      </c>
    </row>
    <row r="10" spans="1:11" ht="30" x14ac:dyDescent="0.25">
      <c r="A10" s="70" t="s">
        <v>532</v>
      </c>
      <c r="B10" s="19">
        <v>1</v>
      </c>
      <c r="C10" s="19">
        <v>0</v>
      </c>
      <c r="D10" s="19" t="s">
        <v>533</v>
      </c>
    </row>
    <row r="11" spans="1:11" ht="30" x14ac:dyDescent="0.25">
      <c r="A11" s="69" t="s">
        <v>534</v>
      </c>
      <c r="B11" s="19">
        <v>12</v>
      </c>
      <c r="C11" s="19">
        <v>1</v>
      </c>
      <c r="D11" s="19" t="s">
        <v>535</v>
      </c>
    </row>
    <row r="12" spans="1:11" ht="30" x14ac:dyDescent="0.25">
      <c r="A12" s="69" t="s">
        <v>536</v>
      </c>
      <c r="B12" s="19">
        <v>12</v>
      </c>
      <c r="C12" s="19">
        <v>1</v>
      </c>
      <c r="D12" s="19" t="s">
        <v>537</v>
      </c>
    </row>
    <row r="13" spans="1:11" ht="45" x14ac:dyDescent="0.25">
      <c r="A13" s="69" t="s">
        <v>538</v>
      </c>
      <c r="B13" s="19">
        <v>12</v>
      </c>
      <c r="C13" s="19" t="s">
        <v>539</v>
      </c>
      <c r="D13" s="19" t="s">
        <v>540</v>
      </c>
    </row>
    <row r="14" spans="1:11" ht="60" x14ac:dyDescent="0.25">
      <c r="A14" s="69" t="s">
        <v>541</v>
      </c>
      <c r="B14" s="19">
        <v>12</v>
      </c>
      <c r="C14" s="19" t="s">
        <v>542</v>
      </c>
      <c r="D14" s="19" t="s">
        <v>543</v>
      </c>
    </row>
    <row r="15" spans="1:11" ht="30" x14ac:dyDescent="0.25">
      <c r="A15" s="69" t="s">
        <v>544</v>
      </c>
      <c r="B15" s="19">
        <v>94</v>
      </c>
      <c r="C15" s="19">
        <v>0.1</v>
      </c>
      <c r="D15" s="19" t="s">
        <v>545</v>
      </c>
    </row>
    <row r="16" spans="1:11" x14ac:dyDescent="0.25">
      <c r="A16" s="71" t="s">
        <v>604</v>
      </c>
      <c r="B16" s="19">
        <v>94</v>
      </c>
      <c r="C16" s="19">
        <v>0.1</v>
      </c>
      <c r="D16" s="19" t="s">
        <v>605</v>
      </c>
    </row>
    <row r="17" spans="1:4" ht="30" x14ac:dyDescent="0.25">
      <c r="A17" s="69" t="s">
        <v>546</v>
      </c>
      <c r="B17" s="19">
        <v>94</v>
      </c>
      <c r="C17" s="19">
        <v>0.1</v>
      </c>
      <c r="D17" s="19" t="s">
        <v>547</v>
      </c>
    </row>
    <row r="18" spans="1:4" ht="30" x14ac:dyDescent="0.25">
      <c r="A18" s="70" t="s">
        <v>548</v>
      </c>
      <c r="B18" s="19">
        <v>80</v>
      </c>
      <c r="C18" s="19">
        <v>1</v>
      </c>
      <c r="D18" s="19" t="s">
        <v>549</v>
      </c>
    </row>
    <row r="19" spans="1:4" ht="30" x14ac:dyDescent="0.25">
      <c r="A19" s="70" t="s">
        <v>550</v>
      </c>
      <c r="B19" s="19">
        <v>80</v>
      </c>
      <c r="C19" s="19">
        <v>1</v>
      </c>
      <c r="D19" s="19" t="s">
        <v>551</v>
      </c>
    </row>
    <row r="20" spans="1:4" ht="30" x14ac:dyDescent="0.25">
      <c r="A20" s="74" t="s">
        <v>552</v>
      </c>
      <c r="B20" s="19">
        <v>80</v>
      </c>
      <c r="C20" s="19">
        <v>-1</v>
      </c>
      <c r="D20" s="19" t="s">
        <v>553</v>
      </c>
    </row>
    <row r="21" spans="1:4" ht="45" x14ac:dyDescent="0.25">
      <c r="A21" s="70" t="s">
        <v>554</v>
      </c>
      <c r="B21" s="19">
        <v>80</v>
      </c>
      <c r="C21" s="19">
        <v>1</v>
      </c>
      <c r="D21" s="19" t="s">
        <v>555</v>
      </c>
    </row>
    <row r="22" spans="1:4" ht="45" x14ac:dyDescent="0.25">
      <c r="A22" s="70" t="s">
        <v>556</v>
      </c>
      <c r="B22" s="19">
        <v>80</v>
      </c>
      <c r="C22" s="19">
        <v>1</v>
      </c>
      <c r="D22" s="19" t="s">
        <v>557</v>
      </c>
    </row>
    <row r="23" spans="1:4" ht="60" x14ac:dyDescent="0.25">
      <c r="A23" s="71" t="s">
        <v>558</v>
      </c>
      <c r="B23" s="19">
        <v>12</v>
      </c>
      <c r="C23" s="19" t="s">
        <v>559</v>
      </c>
      <c r="D23" s="19" t="s">
        <v>560</v>
      </c>
    </row>
    <row r="24" spans="1:4" ht="60" x14ac:dyDescent="0.25">
      <c r="A24" s="71" t="s">
        <v>561</v>
      </c>
      <c r="B24" s="19">
        <v>12</v>
      </c>
      <c r="C24" s="19" t="s">
        <v>562</v>
      </c>
      <c r="D24" s="19" t="s">
        <v>563</v>
      </c>
    </row>
    <row r="25" spans="1:4" ht="60" x14ac:dyDescent="0.25">
      <c r="A25" s="71" t="s">
        <v>564</v>
      </c>
      <c r="B25" s="19">
        <v>12</v>
      </c>
      <c r="C25" s="19" t="s">
        <v>565</v>
      </c>
      <c r="D25" s="19" t="s">
        <v>566</v>
      </c>
    </row>
    <row r="26" spans="1:4" ht="45" x14ac:dyDescent="0.25">
      <c r="A26" s="69" t="s">
        <v>567</v>
      </c>
      <c r="B26" s="19">
        <v>12</v>
      </c>
      <c r="C26" s="19" t="s">
        <v>568</v>
      </c>
      <c r="D26" s="19" t="s">
        <v>569</v>
      </c>
    </row>
    <row r="27" spans="1:4" ht="45" x14ac:dyDescent="0.25">
      <c r="A27" s="69" t="s">
        <v>570</v>
      </c>
      <c r="B27" s="19">
        <v>12</v>
      </c>
      <c r="C27" s="19" t="s">
        <v>571</v>
      </c>
      <c r="D27" s="19" t="s">
        <v>572</v>
      </c>
    </row>
    <row r="28" spans="1:4" ht="45" x14ac:dyDescent="0.25">
      <c r="A28" s="69" t="s">
        <v>573</v>
      </c>
      <c r="B28" s="19">
        <v>2</v>
      </c>
      <c r="C28" s="19" t="b">
        <v>0</v>
      </c>
      <c r="D28" s="19" t="s">
        <v>574</v>
      </c>
    </row>
    <row r="29" spans="1:4" ht="45" x14ac:dyDescent="0.25">
      <c r="A29" s="69" t="s">
        <v>575</v>
      </c>
      <c r="B29" s="19">
        <v>2</v>
      </c>
      <c r="C29" s="19">
        <v>0</v>
      </c>
      <c r="D29" s="19" t="s">
        <v>576</v>
      </c>
    </row>
    <row r="30" spans="1:4" ht="30" x14ac:dyDescent="0.25">
      <c r="A30" s="71" t="s">
        <v>577</v>
      </c>
      <c r="B30" s="19">
        <v>2</v>
      </c>
      <c r="C30" s="19">
        <v>1</v>
      </c>
      <c r="D30" s="19" t="s">
        <v>578</v>
      </c>
    </row>
    <row r="31" spans="1:4" ht="60" x14ac:dyDescent="0.25">
      <c r="A31" s="70" t="s">
        <v>625</v>
      </c>
      <c r="B31" s="19">
        <v>2</v>
      </c>
      <c r="C31" s="19">
        <v>1</v>
      </c>
      <c r="D31" s="19" t="s">
        <v>626</v>
      </c>
    </row>
    <row r="32" spans="1:4" x14ac:dyDescent="0.25">
      <c r="A32" s="19"/>
      <c r="B32" s="19"/>
      <c r="C32" s="19"/>
      <c r="D32" s="19"/>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F81"/>
  <sheetViews>
    <sheetView workbookViewId="0"/>
  </sheetViews>
  <sheetFormatPr defaultColWidth="8.85546875" defaultRowHeight="15" x14ac:dyDescent="0.25"/>
  <cols>
    <col min="1" max="1" width="33.42578125" style="9" bestFit="1" customWidth="1"/>
    <col min="2" max="2" width="33.85546875" style="9" bestFit="1" customWidth="1"/>
    <col min="3" max="3" width="13.140625" style="9" customWidth="1"/>
    <col min="4" max="4" width="17.85546875" style="9" bestFit="1" customWidth="1"/>
    <col min="5" max="5" width="16.42578125" style="9" bestFit="1" customWidth="1"/>
    <col min="6" max="6" width="19.42578125" style="9" bestFit="1" customWidth="1"/>
  </cols>
  <sheetData>
    <row r="1" spans="1:6" x14ac:dyDescent="0.25">
      <c r="A1" s="9" t="s">
        <v>27</v>
      </c>
      <c r="B1" s="9" t="s">
        <v>28</v>
      </c>
      <c r="D1" s="9" t="s">
        <v>29</v>
      </c>
      <c r="E1" s="9" t="s">
        <v>30</v>
      </c>
      <c r="F1" s="9" t="s">
        <v>31</v>
      </c>
    </row>
    <row r="2" spans="1:6" x14ac:dyDescent="0.25">
      <c r="A2" s="9" t="s">
        <v>32</v>
      </c>
      <c r="B2" s="9" t="s">
        <v>33</v>
      </c>
      <c r="D2" s="9" t="s">
        <v>34</v>
      </c>
      <c r="E2" s="9" t="s">
        <v>35</v>
      </c>
      <c r="F2" s="9" t="s">
        <v>36</v>
      </c>
    </row>
    <row r="3" spans="1:6" x14ac:dyDescent="0.25">
      <c r="A3" s="9" t="s">
        <v>37</v>
      </c>
      <c r="B3" s="9" t="s">
        <v>38</v>
      </c>
      <c r="D3" s="9" t="s">
        <v>39</v>
      </c>
      <c r="E3" s="9" t="s">
        <v>35</v>
      </c>
      <c r="F3" s="9" t="s">
        <v>40</v>
      </c>
    </row>
    <row r="4" spans="1:6" x14ac:dyDescent="0.25">
      <c r="A4" s="9" t="s">
        <v>41</v>
      </c>
      <c r="B4" s="9" t="s">
        <v>42</v>
      </c>
      <c r="D4" s="9" t="s">
        <v>43</v>
      </c>
      <c r="E4" s="9" t="s">
        <v>35</v>
      </c>
      <c r="F4" s="9" t="s">
        <v>40</v>
      </c>
    </row>
    <row r="5" spans="1:6" x14ac:dyDescent="0.25">
      <c r="A5" s="9" t="s">
        <v>44</v>
      </c>
      <c r="B5" s="9" t="s">
        <v>45</v>
      </c>
      <c r="D5" s="9" t="s">
        <v>46</v>
      </c>
      <c r="E5" s="9" t="s">
        <v>35</v>
      </c>
      <c r="F5" s="9" t="s">
        <v>40</v>
      </c>
    </row>
    <row r="6" spans="1:6" x14ac:dyDescent="0.25">
      <c r="A6" s="9" t="s">
        <v>47</v>
      </c>
      <c r="B6" s="9" t="s">
        <v>48</v>
      </c>
      <c r="D6" s="9" t="s">
        <v>49</v>
      </c>
      <c r="E6" s="9" t="s">
        <v>35</v>
      </c>
      <c r="F6" s="9" t="s">
        <v>40</v>
      </c>
    </row>
    <row r="7" spans="1:6" x14ac:dyDescent="0.25">
      <c r="A7" s="9" t="s">
        <v>50</v>
      </c>
      <c r="B7" s="9" t="s">
        <v>51</v>
      </c>
      <c r="D7" s="9" t="s">
        <v>52</v>
      </c>
      <c r="E7" s="9" t="s">
        <v>35</v>
      </c>
      <c r="F7" s="9" t="s">
        <v>40</v>
      </c>
    </row>
    <row r="8" spans="1:6" x14ac:dyDescent="0.25">
      <c r="A8" s="9" t="s">
        <v>53</v>
      </c>
      <c r="B8" s="9" t="s">
        <v>54</v>
      </c>
      <c r="D8" s="9" t="s">
        <v>55</v>
      </c>
      <c r="E8" s="9" t="s">
        <v>35</v>
      </c>
      <c r="F8" s="9" t="s">
        <v>40</v>
      </c>
    </row>
    <row r="9" spans="1:6" x14ac:dyDescent="0.25">
      <c r="A9" s="9" t="s">
        <v>56</v>
      </c>
      <c r="B9" s="9" t="s">
        <v>57</v>
      </c>
      <c r="D9" s="9" t="s">
        <v>695</v>
      </c>
      <c r="E9" s="9" t="s">
        <v>35</v>
      </c>
      <c r="F9" s="9" t="s">
        <v>40</v>
      </c>
    </row>
    <row r="10" spans="1:6" x14ac:dyDescent="0.25">
      <c r="A10" s="9" t="s">
        <v>59</v>
      </c>
      <c r="B10" s="9" t="s">
        <v>60</v>
      </c>
      <c r="D10" s="9" t="s">
        <v>61</v>
      </c>
      <c r="E10" s="9" t="s">
        <v>35</v>
      </c>
      <c r="F10" s="9" t="s">
        <v>40</v>
      </c>
    </row>
    <row r="11" spans="1:6" x14ac:dyDescent="0.25">
      <c r="A11" s="9" t="s">
        <v>62</v>
      </c>
      <c r="B11" s="9" t="s">
        <v>63</v>
      </c>
      <c r="D11" s="9" t="s">
        <v>64</v>
      </c>
      <c r="E11" s="9" t="s">
        <v>35</v>
      </c>
      <c r="F11" s="9" t="s">
        <v>40</v>
      </c>
    </row>
    <row r="12" spans="1:6" x14ac:dyDescent="0.25">
      <c r="A12" s="9" t="s">
        <v>65</v>
      </c>
      <c r="B12" s="9" t="s">
        <v>66</v>
      </c>
      <c r="D12" s="9" t="s">
        <v>67</v>
      </c>
      <c r="E12" s="9" t="s">
        <v>68</v>
      </c>
      <c r="F12" s="9" t="s">
        <v>36</v>
      </c>
    </row>
    <row r="13" spans="1:6" x14ac:dyDescent="0.25">
      <c r="A13" s="9" t="s">
        <v>69</v>
      </c>
      <c r="B13" s="9" t="s">
        <v>70</v>
      </c>
      <c r="D13" s="9" t="s">
        <v>71</v>
      </c>
      <c r="E13" s="9" t="s">
        <v>68</v>
      </c>
      <c r="F13" s="9" t="s">
        <v>36</v>
      </c>
    </row>
    <row r="14" spans="1:6" x14ac:dyDescent="0.25">
      <c r="A14" s="9" t="s">
        <v>72</v>
      </c>
      <c r="B14" s="9" t="s">
        <v>73</v>
      </c>
    </row>
    <row r="15" spans="1:6" x14ac:dyDescent="0.25">
      <c r="A15" s="9" t="s">
        <v>74</v>
      </c>
      <c r="B15" s="9" t="s">
        <v>75</v>
      </c>
    </row>
    <row r="16" spans="1:6" x14ac:dyDescent="0.25">
      <c r="A16" s="9" t="s">
        <v>76</v>
      </c>
    </row>
    <row r="17" spans="1:1" x14ac:dyDescent="0.25">
      <c r="A17" s="9" t="s">
        <v>77</v>
      </c>
    </row>
    <row r="18" spans="1:1" x14ac:dyDescent="0.25">
      <c r="A18" s="9" t="s">
        <v>78</v>
      </c>
    </row>
    <row r="19" spans="1:1" x14ac:dyDescent="0.25">
      <c r="A19" s="9" t="s">
        <v>79</v>
      </c>
    </row>
    <row r="20" spans="1:1" x14ac:dyDescent="0.25">
      <c r="A20" s="9" t="s">
        <v>80</v>
      </c>
    </row>
    <row r="21" spans="1:1" x14ac:dyDescent="0.25">
      <c r="A21" s="9" t="s">
        <v>81</v>
      </c>
    </row>
    <row r="22" spans="1:1" x14ac:dyDescent="0.25">
      <c r="A22" s="9" t="s">
        <v>82</v>
      </c>
    </row>
    <row r="23" spans="1:1" x14ac:dyDescent="0.25">
      <c r="A23" s="9" t="s">
        <v>83</v>
      </c>
    </row>
    <row r="24" spans="1:1" x14ac:dyDescent="0.25">
      <c r="A24" s="9" t="s">
        <v>84</v>
      </c>
    </row>
    <row r="25" spans="1:1" x14ac:dyDescent="0.25">
      <c r="A25" s="9" t="s">
        <v>85</v>
      </c>
    </row>
    <row r="26" spans="1:1" x14ac:dyDescent="0.25">
      <c r="A26" s="9" t="s">
        <v>86</v>
      </c>
    </row>
    <row r="27" spans="1:1" x14ac:dyDescent="0.25">
      <c r="A27" s="9" t="s">
        <v>87</v>
      </c>
    </row>
    <row r="28" spans="1:1" x14ac:dyDescent="0.25">
      <c r="A28" s="9" t="s">
        <v>88</v>
      </c>
    </row>
    <row r="29" spans="1:1" x14ac:dyDescent="0.25">
      <c r="A29" s="9" t="s">
        <v>89</v>
      </c>
    </row>
    <row r="30" spans="1:1" x14ac:dyDescent="0.25">
      <c r="A30" s="9" t="s">
        <v>90</v>
      </c>
    </row>
    <row r="31" spans="1:1" x14ac:dyDescent="0.25">
      <c r="A31" s="9" t="s">
        <v>91</v>
      </c>
    </row>
    <row r="32" spans="1:1" x14ac:dyDescent="0.25">
      <c r="A32" s="9" t="s">
        <v>92</v>
      </c>
    </row>
    <row r="33" spans="1:1" x14ac:dyDescent="0.25">
      <c r="A33" s="9" t="s">
        <v>93</v>
      </c>
    </row>
    <row r="34" spans="1:1" x14ac:dyDescent="0.25">
      <c r="A34" s="9" t="s">
        <v>94</v>
      </c>
    </row>
    <row r="35" spans="1:1" x14ac:dyDescent="0.25">
      <c r="A35" s="9" t="s">
        <v>95</v>
      </c>
    </row>
    <row r="36" spans="1:1" x14ac:dyDescent="0.25">
      <c r="A36" s="9" t="s">
        <v>96</v>
      </c>
    </row>
    <row r="37" spans="1:1" x14ac:dyDescent="0.25">
      <c r="A37" s="9" t="s">
        <v>97</v>
      </c>
    </row>
    <row r="38" spans="1:1" x14ac:dyDescent="0.25">
      <c r="A38" s="9" t="s">
        <v>98</v>
      </c>
    </row>
    <row r="39" spans="1:1" x14ac:dyDescent="0.25">
      <c r="A39" s="9" t="s">
        <v>99</v>
      </c>
    </row>
    <row r="40" spans="1:1" x14ac:dyDescent="0.25">
      <c r="A40" s="9" t="s">
        <v>100</v>
      </c>
    </row>
    <row r="41" spans="1:1" x14ac:dyDescent="0.25">
      <c r="A41" s="9" t="s">
        <v>101</v>
      </c>
    </row>
    <row r="42" spans="1:1" x14ac:dyDescent="0.25">
      <c r="A42" s="9" t="s">
        <v>102</v>
      </c>
    </row>
    <row r="43" spans="1:1" x14ac:dyDescent="0.25">
      <c r="A43" s="9" t="s">
        <v>103</v>
      </c>
    </row>
    <row r="44" spans="1:1" x14ac:dyDescent="0.25">
      <c r="A44" s="9" t="s">
        <v>104</v>
      </c>
    </row>
    <row r="45" spans="1:1" x14ac:dyDescent="0.25">
      <c r="A45" s="9" t="s">
        <v>105</v>
      </c>
    </row>
    <row r="46" spans="1:1" x14ac:dyDescent="0.25">
      <c r="A46" s="9" t="s">
        <v>106</v>
      </c>
    </row>
    <row r="47" spans="1:1" x14ac:dyDescent="0.25">
      <c r="A47" s="9" t="s">
        <v>107</v>
      </c>
    </row>
    <row r="48" spans="1:1" x14ac:dyDescent="0.25">
      <c r="A48" s="9" t="s">
        <v>108</v>
      </c>
    </row>
    <row r="49" spans="1:1" x14ac:dyDescent="0.25">
      <c r="A49" s="9" t="s">
        <v>109</v>
      </c>
    </row>
    <row r="50" spans="1:1" x14ac:dyDescent="0.25">
      <c r="A50" s="9" t="s">
        <v>110</v>
      </c>
    </row>
    <row r="51" spans="1:1" x14ac:dyDescent="0.25">
      <c r="A51" s="9" t="s">
        <v>111</v>
      </c>
    </row>
    <row r="52" spans="1:1" x14ac:dyDescent="0.25">
      <c r="A52" s="9" t="s">
        <v>112</v>
      </c>
    </row>
    <row r="53" spans="1:1" x14ac:dyDescent="0.25">
      <c r="A53" s="9" t="s">
        <v>113</v>
      </c>
    </row>
    <row r="54" spans="1:1" x14ac:dyDescent="0.25">
      <c r="A54" s="9" t="s">
        <v>114</v>
      </c>
    </row>
    <row r="55" spans="1:1" x14ac:dyDescent="0.25">
      <c r="A55" s="9" t="s">
        <v>115</v>
      </c>
    </row>
    <row r="56" spans="1:1" x14ac:dyDescent="0.25">
      <c r="A56" s="9" t="s">
        <v>116</v>
      </c>
    </row>
    <row r="57" spans="1:1" x14ac:dyDescent="0.25">
      <c r="A57" s="9" t="s">
        <v>117</v>
      </c>
    </row>
    <row r="58" spans="1:1" x14ac:dyDescent="0.25">
      <c r="A58" s="9" t="s">
        <v>118</v>
      </c>
    </row>
    <row r="59" spans="1:1" x14ac:dyDescent="0.25">
      <c r="A59" s="9" t="s">
        <v>119</v>
      </c>
    </row>
    <row r="60" spans="1:1" x14ac:dyDescent="0.25">
      <c r="A60" s="9" t="s">
        <v>120</v>
      </c>
    </row>
    <row r="61" spans="1:1" x14ac:dyDescent="0.25">
      <c r="A61" s="9" t="s">
        <v>121</v>
      </c>
    </row>
    <row r="62" spans="1:1" x14ac:dyDescent="0.25">
      <c r="A62" s="9" t="s">
        <v>122</v>
      </c>
    </row>
    <row r="63" spans="1:1" x14ac:dyDescent="0.25">
      <c r="A63" s="9" t="s">
        <v>123</v>
      </c>
    </row>
    <row r="64" spans="1:1" x14ac:dyDescent="0.25">
      <c r="A64" s="9" t="s">
        <v>124</v>
      </c>
    </row>
    <row r="65" spans="1:1" x14ac:dyDescent="0.25">
      <c r="A65" s="9" t="s">
        <v>125</v>
      </c>
    </row>
    <row r="66" spans="1:1" x14ac:dyDescent="0.25">
      <c r="A66" s="9" t="s">
        <v>126</v>
      </c>
    </row>
    <row r="67" spans="1:1" x14ac:dyDescent="0.25">
      <c r="A67" s="9" t="s">
        <v>127</v>
      </c>
    </row>
    <row r="68" spans="1:1" x14ac:dyDescent="0.25">
      <c r="A68" s="9" t="s">
        <v>128</v>
      </c>
    </row>
    <row r="69" spans="1:1" x14ac:dyDescent="0.25">
      <c r="A69" s="9" t="s">
        <v>129</v>
      </c>
    </row>
    <row r="70" spans="1:1" x14ac:dyDescent="0.25">
      <c r="A70" s="9" t="s">
        <v>130</v>
      </c>
    </row>
    <row r="71" spans="1:1" x14ac:dyDescent="0.25">
      <c r="A71" s="9" t="s">
        <v>131</v>
      </c>
    </row>
    <row r="72" spans="1:1" x14ac:dyDescent="0.25">
      <c r="A72" s="9" t="s">
        <v>132</v>
      </c>
    </row>
    <row r="73" spans="1:1" x14ac:dyDescent="0.25">
      <c r="A73" s="9" t="s">
        <v>133</v>
      </c>
    </row>
    <row r="74" spans="1:1" x14ac:dyDescent="0.25">
      <c r="A74" s="9" t="s">
        <v>134</v>
      </c>
    </row>
    <row r="75" spans="1:1" x14ac:dyDescent="0.25">
      <c r="A75" s="9" t="s">
        <v>135</v>
      </c>
    </row>
    <row r="76" spans="1:1" x14ac:dyDescent="0.25">
      <c r="A76" s="9" t="s">
        <v>136</v>
      </c>
    </row>
    <row r="77" spans="1:1" x14ac:dyDescent="0.25">
      <c r="A77" s="9" t="s">
        <v>137</v>
      </c>
    </row>
    <row r="78" spans="1:1" x14ac:dyDescent="0.25">
      <c r="A78" s="9" t="s">
        <v>138</v>
      </c>
    </row>
    <row r="79" spans="1:1" x14ac:dyDescent="0.25">
      <c r="A79" s="9" t="s">
        <v>139</v>
      </c>
    </row>
    <row r="80" spans="1:1" x14ac:dyDescent="0.25">
      <c r="A80" s="9" t="s">
        <v>140</v>
      </c>
    </row>
    <row r="81" spans="1:1" x14ac:dyDescent="0.25">
      <c r="A81" s="9" t="s">
        <v>141</v>
      </c>
    </row>
  </sheetData>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A5EAF-2834-4307-9BFB-438760BDACB4}">
  <sheetPr codeName="Sheet4"/>
  <dimension ref="A1:N11"/>
  <sheetViews>
    <sheetView workbookViewId="0"/>
  </sheetViews>
  <sheetFormatPr defaultColWidth="8.85546875" defaultRowHeight="15" x14ac:dyDescent="0.25"/>
  <cols>
    <col min="1" max="1" width="13.28515625" customWidth="1"/>
    <col min="2" max="2" width="11.42578125" customWidth="1"/>
    <col min="5" max="5" width="12.28515625" customWidth="1"/>
    <col min="7" max="7" width="12.28515625" customWidth="1"/>
    <col min="8" max="8" width="10.85546875" customWidth="1"/>
    <col min="9" max="9" width="12" customWidth="1"/>
    <col min="10" max="10" width="11" customWidth="1"/>
    <col min="11" max="11" width="12" customWidth="1"/>
    <col min="14" max="14" width="19.28515625" bestFit="1" customWidth="1"/>
  </cols>
  <sheetData>
    <row r="1" spans="1:14" ht="56.25" x14ac:dyDescent="0.25">
      <c r="A1" s="50" t="s">
        <v>158</v>
      </c>
      <c r="B1" s="14" t="s">
        <v>39</v>
      </c>
      <c r="C1" s="15" t="s">
        <v>43</v>
      </c>
      <c r="D1" s="16" t="s">
        <v>46</v>
      </c>
      <c r="E1" s="15" t="s">
        <v>49</v>
      </c>
      <c r="F1" s="16" t="s">
        <v>52</v>
      </c>
      <c r="G1" s="15" t="s">
        <v>55</v>
      </c>
      <c r="H1" s="16" t="s">
        <v>695</v>
      </c>
      <c r="I1" s="15" t="s">
        <v>61</v>
      </c>
      <c r="J1" s="16" t="s">
        <v>64</v>
      </c>
      <c r="K1" s="15" t="s">
        <v>34</v>
      </c>
    </row>
    <row r="2" spans="1:14" ht="37.5" x14ac:dyDescent="0.25">
      <c r="A2" s="48" t="s">
        <v>55</v>
      </c>
      <c r="B2" s="6" t="s">
        <v>159</v>
      </c>
      <c r="C2" s="5" t="s">
        <v>159</v>
      </c>
      <c r="D2" s="5" t="s">
        <v>159</v>
      </c>
      <c r="E2" s="5" t="s">
        <v>159</v>
      </c>
      <c r="F2" s="5" t="s">
        <v>159</v>
      </c>
      <c r="G2" s="5" t="s">
        <v>159</v>
      </c>
      <c r="H2" s="5" t="s">
        <v>159</v>
      </c>
      <c r="I2" s="6" t="s">
        <v>160</v>
      </c>
      <c r="J2" s="5" t="s">
        <v>159</v>
      </c>
      <c r="K2" s="5" t="s">
        <v>159</v>
      </c>
      <c r="N2" s="20" t="s">
        <v>161</v>
      </c>
    </row>
    <row r="3" spans="1:14" ht="56.25" x14ac:dyDescent="0.25">
      <c r="A3" s="15" t="s">
        <v>695</v>
      </c>
      <c r="B3" s="6" t="s">
        <v>159</v>
      </c>
      <c r="C3" s="5" t="s">
        <v>159</v>
      </c>
      <c r="D3" s="5" t="s">
        <v>159</v>
      </c>
      <c r="E3" s="5" t="s">
        <v>160</v>
      </c>
      <c r="F3" s="5" t="s">
        <v>160</v>
      </c>
      <c r="G3" s="5" t="s">
        <v>159</v>
      </c>
      <c r="H3" s="5" t="s">
        <v>160</v>
      </c>
      <c r="I3" s="6" t="s">
        <v>160</v>
      </c>
      <c r="J3" s="5" t="s">
        <v>160</v>
      </c>
      <c r="K3" s="5" t="s">
        <v>162</v>
      </c>
      <c r="N3" s="20" t="s">
        <v>163</v>
      </c>
    </row>
    <row r="4" spans="1:14" ht="37.5" x14ac:dyDescent="0.25">
      <c r="A4" s="49" t="s">
        <v>39</v>
      </c>
      <c r="B4" s="7" t="s">
        <v>160</v>
      </c>
      <c r="C4" s="7" t="s">
        <v>160</v>
      </c>
      <c r="D4" s="7" t="s">
        <v>160</v>
      </c>
      <c r="E4" s="7" t="s">
        <v>160</v>
      </c>
      <c r="F4" s="7" t="s">
        <v>160</v>
      </c>
      <c r="G4" s="6" t="s">
        <v>160</v>
      </c>
      <c r="H4" s="7" t="s">
        <v>160</v>
      </c>
      <c r="I4" s="6" t="s">
        <v>160</v>
      </c>
      <c r="J4" s="7" t="s">
        <v>160</v>
      </c>
      <c r="K4" s="5" t="s">
        <v>162</v>
      </c>
      <c r="N4" s="21" t="s">
        <v>164</v>
      </c>
    </row>
    <row r="5" spans="1:14" ht="37.5" x14ac:dyDescent="0.25">
      <c r="A5" s="48" t="s">
        <v>43</v>
      </c>
      <c r="B5" s="5" t="s">
        <v>159</v>
      </c>
      <c r="C5" s="5" t="s">
        <v>162</v>
      </c>
      <c r="D5" s="5" t="s">
        <v>159</v>
      </c>
      <c r="E5" s="5" t="s">
        <v>162</v>
      </c>
      <c r="F5" s="5" t="s">
        <v>159</v>
      </c>
      <c r="G5" s="6" t="s">
        <v>160</v>
      </c>
      <c r="H5" s="5" t="s">
        <v>159</v>
      </c>
      <c r="I5" s="6" t="s">
        <v>160</v>
      </c>
      <c r="J5" s="5" t="s">
        <v>159</v>
      </c>
      <c r="K5" s="5" t="s">
        <v>162</v>
      </c>
      <c r="N5" s="21" t="s">
        <v>165</v>
      </c>
    </row>
    <row r="6" spans="1:14" ht="37.5" x14ac:dyDescent="0.25">
      <c r="A6" s="49" t="s">
        <v>46</v>
      </c>
      <c r="B6" s="5" t="s">
        <v>159</v>
      </c>
      <c r="C6" s="5" t="s">
        <v>159</v>
      </c>
      <c r="D6" s="5" t="s">
        <v>162</v>
      </c>
      <c r="E6" s="5" t="s">
        <v>159</v>
      </c>
      <c r="F6" s="5" t="s">
        <v>159</v>
      </c>
      <c r="G6" s="6" t="s">
        <v>160</v>
      </c>
      <c r="H6" s="5" t="s">
        <v>159</v>
      </c>
      <c r="I6" s="6" t="s">
        <v>160</v>
      </c>
      <c r="J6" s="3" t="s">
        <v>159</v>
      </c>
      <c r="K6" s="5" t="s">
        <v>162</v>
      </c>
      <c r="N6" s="22" t="s">
        <v>166</v>
      </c>
    </row>
    <row r="7" spans="1:14" ht="56.25" x14ac:dyDescent="0.25">
      <c r="A7" s="48" t="s">
        <v>49</v>
      </c>
      <c r="B7" s="5" t="s">
        <v>159</v>
      </c>
      <c r="C7" s="5" t="s">
        <v>162</v>
      </c>
      <c r="D7" s="5" t="s">
        <v>159</v>
      </c>
      <c r="E7" s="5" t="s">
        <v>159</v>
      </c>
      <c r="F7" s="5" t="s">
        <v>159</v>
      </c>
      <c r="G7" s="5" t="s">
        <v>159</v>
      </c>
      <c r="H7" s="5" t="s">
        <v>159</v>
      </c>
      <c r="I7" s="6" t="s">
        <v>159</v>
      </c>
      <c r="J7" s="5" t="s">
        <v>159</v>
      </c>
      <c r="K7" s="5" t="s">
        <v>159</v>
      </c>
      <c r="N7" s="21" t="s">
        <v>167</v>
      </c>
    </row>
    <row r="8" spans="1:14" ht="18.75" x14ac:dyDescent="0.25">
      <c r="A8" s="49" t="s">
        <v>52</v>
      </c>
      <c r="B8" s="5" t="s">
        <v>159</v>
      </c>
      <c r="C8" s="4" t="s">
        <v>159</v>
      </c>
      <c r="D8" s="5" t="s">
        <v>159</v>
      </c>
      <c r="E8" s="5" t="s">
        <v>159</v>
      </c>
      <c r="F8" s="5" t="s">
        <v>159</v>
      </c>
      <c r="G8" s="6" t="s">
        <v>159</v>
      </c>
      <c r="H8" s="6" t="s">
        <v>159</v>
      </c>
      <c r="I8" s="6" t="s">
        <v>159</v>
      </c>
      <c r="J8" s="6" t="s">
        <v>159</v>
      </c>
      <c r="K8" s="5" t="s">
        <v>162</v>
      </c>
    </row>
    <row r="9" spans="1:14" ht="37.5" x14ac:dyDescent="0.25">
      <c r="A9" s="48" t="s">
        <v>61</v>
      </c>
      <c r="B9" s="5" t="s">
        <v>159</v>
      </c>
      <c r="C9" s="5" t="s">
        <v>159</v>
      </c>
      <c r="D9" s="5" t="s">
        <v>159</v>
      </c>
      <c r="E9" s="5" t="s">
        <v>159</v>
      </c>
      <c r="F9" s="5" t="s">
        <v>159</v>
      </c>
      <c r="G9" s="5" t="s">
        <v>159</v>
      </c>
      <c r="H9" s="5" t="s">
        <v>159</v>
      </c>
      <c r="I9" s="5" t="s">
        <v>159</v>
      </c>
      <c r="J9" s="5" t="s">
        <v>159</v>
      </c>
      <c r="K9" s="5" t="s">
        <v>159</v>
      </c>
    </row>
    <row r="10" spans="1:14" ht="37.5" x14ac:dyDescent="0.25">
      <c r="A10" s="15" t="s">
        <v>64</v>
      </c>
      <c r="B10" s="5" t="s">
        <v>159</v>
      </c>
      <c r="C10" s="5" t="s">
        <v>159</v>
      </c>
      <c r="D10" s="5" t="s">
        <v>159</v>
      </c>
      <c r="E10" s="5" t="s">
        <v>159</v>
      </c>
      <c r="F10" s="5" t="s">
        <v>159</v>
      </c>
      <c r="G10" s="5" t="s">
        <v>159</v>
      </c>
      <c r="H10" s="5" t="s">
        <v>159</v>
      </c>
      <c r="I10" s="6" t="s">
        <v>160</v>
      </c>
      <c r="J10" s="5" t="s">
        <v>159</v>
      </c>
      <c r="K10" s="5" t="s">
        <v>162</v>
      </c>
    </row>
    <row r="11" spans="1:14" ht="37.5" x14ac:dyDescent="0.25">
      <c r="A11" s="49" t="s">
        <v>34</v>
      </c>
      <c r="B11" s="17" t="s">
        <v>168</v>
      </c>
      <c r="C11" s="17" t="s">
        <v>168</v>
      </c>
      <c r="D11" s="17" t="s">
        <v>169</v>
      </c>
      <c r="E11" s="17" t="s">
        <v>168</v>
      </c>
      <c r="F11" s="17" t="s">
        <v>168</v>
      </c>
      <c r="G11" s="17" t="s">
        <v>168</v>
      </c>
      <c r="H11" s="17" t="s">
        <v>169</v>
      </c>
      <c r="I11" s="17" t="s">
        <v>168</v>
      </c>
      <c r="J11" s="17" t="s">
        <v>168</v>
      </c>
      <c r="K11" s="17" t="s">
        <v>168</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FED9E7-8A7B-406D-BB37-3435DAFF168E}">
  <sheetPr codeName="Sheet5"/>
  <dimension ref="A1:K19"/>
  <sheetViews>
    <sheetView tabSelected="1" zoomScale="108" workbookViewId="0"/>
  </sheetViews>
  <sheetFormatPr defaultColWidth="8.85546875" defaultRowHeight="15" x14ac:dyDescent="0.25"/>
  <cols>
    <col min="1" max="1" width="16.28515625" style="9" customWidth="1"/>
    <col min="2" max="2" width="15.28515625" style="9" customWidth="1"/>
    <col min="3" max="3" width="20.85546875" style="9" bestFit="1" customWidth="1"/>
    <col min="4" max="4" width="13" bestFit="1" customWidth="1"/>
    <col min="5" max="5" width="15.28515625" customWidth="1"/>
    <col min="11" max="11" width="14.85546875" customWidth="1"/>
  </cols>
  <sheetData>
    <row r="1" spans="1:11" ht="30" x14ac:dyDescent="0.25">
      <c r="A1" s="46" t="s">
        <v>170</v>
      </c>
      <c r="B1" s="46" t="s">
        <v>171</v>
      </c>
    </row>
    <row r="2" spans="1:11" ht="37.5" x14ac:dyDescent="0.25">
      <c r="A2" s="13" t="s">
        <v>55</v>
      </c>
      <c r="B2" s="56">
        <f>_xlfn.CEILING.MATH(2679*0.41)</f>
        <v>1099</v>
      </c>
      <c r="C2"/>
    </row>
    <row r="3" spans="1:11" ht="37.5" x14ac:dyDescent="0.25">
      <c r="A3" s="13" t="s">
        <v>695</v>
      </c>
      <c r="B3" s="56">
        <f>_xlfn.CEILING.MATH(0.41*(1011+20976+1015))</f>
        <v>9431</v>
      </c>
      <c r="C3"/>
    </row>
    <row r="4" spans="1:11" ht="37.5" x14ac:dyDescent="0.25">
      <c r="A4" s="13" t="s">
        <v>39</v>
      </c>
      <c r="B4" s="56">
        <f>_xlfn.CEILING.MATH(1636*0.41)</f>
        <v>671</v>
      </c>
      <c r="C4"/>
    </row>
    <row r="5" spans="1:11" ht="18.75" x14ac:dyDescent="0.25">
      <c r="A5" s="13" t="s">
        <v>43</v>
      </c>
      <c r="B5" s="56">
        <f>_xlfn.CEILING.MATH(1218*0.41)</f>
        <v>500</v>
      </c>
      <c r="C5"/>
    </row>
    <row r="6" spans="1:11" ht="18.75" x14ac:dyDescent="0.25">
      <c r="A6" s="13" t="s">
        <v>46</v>
      </c>
      <c r="B6" s="56">
        <f>_xlfn.CEILING.MATH(1603*0.41)</f>
        <v>658</v>
      </c>
      <c r="C6"/>
    </row>
    <row r="7" spans="1:11" ht="37.5" x14ac:dyDescent="0.25">
      <c r="A7" s="13" t="s">
        <v>49</v>
      </c>
      <c r="B7" s="56">
        <f>_xlfn.CEILING.MATH(0.41*(2098+2945+20976+20976))</f>
        <v>19268</v>
      </c>
      <c r="C7"/>
    </row>
    <row r="8" spans="1:11" ht="18.75" x14ac:dyDescent="0.25">
      <c r="A8" s="13" t="s">
        <v>52</v>
      </c>
      <c r="B8" s="56">
        <f>_xlfn.CEILING.MATH(104*0.41)</f>
        <v>43</v>
      </c>
      <c r="C8"/>
    </row>
    <row r="9" spans="1:11" ht="37.5" x14ac:dyDescent="0.25">
      <c r="A9" s="13" t="s">
        <v>64</v>
      </c>
      <c r="B9" s="56">
        <f>_xlfn.CEILING.MATH(0.41*(328+2147+87+117+592+421))</f>
        <v>1514</v>
      </c>
      <c r="C9"/>
      <c r="D9" s="2"/>
      <c r="E9" s="2"/>
      <c r="F9" s="2"/>
      <c r="G9" s="2"/>
      <c r="H9" s="2"/>
      <c r="I9" s="2"/>
      <c r="J9" s="2"/>
      <c r="K9" s="2"/>
    </row>
    <row r="10" spans="1:11" ht="37.5" x14ac:dyDescent="0.25">
      <c r="A10" s="13" t="s">
        <v>34</v>
      </c>
      <c r="B10" s="55">
        <f>_xlfn.CEILING.MATH(181436*0.41)</f>
        <v>74389</v>
      </c>
      <c r="C10"/>
      <c r="D10" s="2"/>
      <c r="E10" s="2"/>
      <c r="F10" s="2"/>
      <c r="G10" s="2"/>
      <c r="H10" s="2"/>
      <c r="I10" s="2"/>
      <c r="J10" s="2"/>
      <c r="K10" s="2"/>
    </row>
    <row r="11" spans="1:11" ht="15.75" x14ac:dyDescent="0.25">
      <c r="A11" s="54" t="s">
        <v>15</v>
      </c>
      <c r="B11" s="54">
        <f>SUM(B2:B10)</f>
        <v>107573</v>
      </c>
      <c r="C11" s="2"/>
      <c r="D11" s="2"/>
      <c r="E11" s="2"/>
      <c r="F11" s="2"/>
      <c r="G11" s="2"/>
      <c r="H11" s="2"/>
      <c r="I11" s="2"/>
      <c r="J11" s="2"/>
      <c r="K11" s="2"/>
    </row>
    <row r="12" spans="1:11" ht="15.75" x14ac:dyDescent="0.25">
      <c r="F12" s="2"/>
      <c r="G12" s="2"/>
      <c r="H12" s="2"/>
      <c r="I12" s="2"/>
      <c r="J12" s="2"/>
      <c r="K12" s="2"/>
    </row>
    <row r="13" spans="1:11" ht="15.75" x14ac:dyDescent="0.25">
      <c r="A13"/>
      <c r="C13" s="31" t="s">
        <v>172</v>
      </c>
      <c r="F13" s="2"/>
      <c r="G13" s="2"/>
      <c r="H13" s="2"/>
      <c r="I13" s="2"/>
      <c r="J13" s="2"/>
      <c r="K13" s="2"/>
    </row>
    <row r="15" spans="1:11" x14ac:dyDescent="0.25">
      <c r="A15" s="66"/>
      <c r="B15" s="9">
        <f>GetColorCountPopInt($B$2:$B$10,A15)</f>
        <v>1</v>
      </c>
    </row>
    <row r="16" spans="1:11" x14ac:dyDescent="0.25">
      <c r="A16" s="68"/>
      <c r="B16" s="9">
        <f>GetColorCountPopInt($B$2:$B$10,A16)</f>
        <v>8</v>
      </c>
    </row>
    <row r="17" spans="1:4" x14ac:dyDescent="0.25">
      <c r="A17" s="67"/>
      <c r="B17" s="9">
        <f>GetColorCountPopInt($B$2:$B$10,A17)</f>
        <v>0</v>
      </c>
    </row>
    <row r="18" spans="1:4" x14ac:dyDescent="0.25">
      <c r="A18" s="79"/>
      <c r="B18" s="9">
        <f>GetColorCountPopInt($B$2:$B$10,A18)</f>
        <v>0</v>
      </c>
      <c r="C18" s="25"/>
      <c r="D18" s="1"/>
    </row>
    <row r="19" spans="1:4" x14ac:dyDescent="0.25">
      <c r="A19" s="78"/>
      <c r="B19" s="9">
        <f>GetColorCountPopInt($B$2:$B$10,A19)</f>
        <v>0</v>
      </c>
    </row>
  </sheetData>
  <hyperlinks>
    <hyperlink ref="B2" location="pop_size_est_calc_internal!B71" display="pop_size_est_calc_internal!B71" xr:uid="{00000000-0004-0000-0500-000000000000}"/>
    <hyperlink ref="B10" location="pop_size_est_calc_internal!B84" display="pop_size_est_calc_internal!B84" xr:uid="{00000000-0004-0000-0500-000001000000}"/>
    <hyperlink ref="B9" location="pop_size_est_calc_internal!B79" display="pop_size_est_calc_internal!B79" xr:uid="{00000000-0004-0000-0500-000002000000}"/>
    <hyperlink ref="B8" location="pop_size_est_calc_internal!B77" display="pop_size_est_calc_internal!B77" xr:uid="{00000000-0004-0000-0500-000004000000}"/>
    <hyperlink ref="B7" location="pop_size_est_calc_internal!B76" display="pop_size_est_calc_internal!B76" xr:uid="{00000000-0004-0000-0500-000005000000}"/>
    <hyperlink ref="B6" location="pop_size_est_calc_internal!B75" display="pop_size_est_calc_internal!B75" xr:uid="{00000000-0004-0000-0500-000006000000}"/>
    <hyperlink ref="B5" location="pop_size_est_calc_internal!B74" display="pop_size_est_calc_internal!B74" xr:uid="{00000000-0004-0000-0500-000007000000}"/>
    <hyperlink ref="B4" location="pop_size_est_calc_internal!B73" display="pop_size_est_calc_internal!B73" xr:uid="{00000000-0004-0000-0500-000008000000}"/>
    <hyperlink ref="B3" location="pop_size_est_calc_internal!B72" display="pop_size_est_calc_internal!B72" xr:uid="{00000000-0004-0000-0500-000009000000}"/>
    <hyperlink ref="B3:B10" location="pop_size_est_calc!B72" display="1664" xr:uid="{00000000-0004-0000-0500-00000A000000}"/>
  </hyperlink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D973AB-9485-4295-A36E-0547EF4FF3AF}">
  <sheetPr codeName="Sheet6"/>
  <dimension ref="A1:J90"/>
  <sheetViews>
    <sheetView topLeftCell="A82" workbookViewId="0">
      <selection activeCell="A88" sqref="A88"/>
    </sheetView>
  </sheetViews>
  <sheetFormatPr defaultColWidth="8.85546875" defaultRowHeight="15" x14ac:dyDescent="0.25"/>
  <cols>
    <col min="1" max="1" width="42.7109375" customWidth="1"/>
    <col min="2" max="2" width="42.42578125" bestFit="1" customWidth="1"/>
    <col min="3" max="3" width="41" customWidth="1"/>
    <col min="4" max="4" width="39.7109375" customWidth="1"/>
    <col min="5" max="5" width="21.7109375" customWidth="1"/>
    <col min="6" max="6" width="25.85546875" customWidth="1"/>
    <col min="7" max="7" width="36.42578125" bestFit="1" customWidth="1"/>
    <col min="8" max="8" width="22.28515625" bestFit="1" customWidth="1"/>
    <col min="9" max="9" width="12.85546875" customWidth="1"/>
    <col min="10" max="10" width="18.42578125" customWidth="1"/>
  </cols>
  <sheetData>
    <row r="1" spans="1:10" ht="30" x14ac:dyDescent="0.25">
      <c r="A1" s="23" t="s">
        <v>142</v>
      </c>
    </row>
    <row r="2" spans="1:10" x14ac:dyDescent="0.25">
      <c r="A2" s="9" t="s">
        <v>143</v>
      </c>
      <c r="B2" s="9" t="s">
        <v>144</v>
      </c>
      <c r="C2" s="9" t="s">
        <v>173</v>
      </c>
      <c r="D2" s="9" t="s">
        <v>174</v>
      </c>
      <c r="E2" s="9" t="s">
        <v>175</v>
      </c>
      <c r="F2" s="9" t="s">
        <v>176</v>
      </c>
      <c r="G2" s="9" t="s">
        <v>177</v>
      </c>
      <c r="H2" s="9" t="s">
        <v>178</v>
      </c>
      <c r="I2" s="9" t="s">
        <v>179</v>
      </c>
      <c r="J2" s="9" t="s">
        <v>180</v>
      </c>
    </row>
    <row r="3" spans="1:10" ht="105" x14ac:dyDescent="0.25">
      <c r="A3" s="9">
        <v>1</v>
      </c>
      <c r="B3" s="19" t="s">
        <v>145</v>
      </c>
      <c r="C3" s="27" t="s">
        <v>181</v>
      </c>
      <c r="D3" s="19" t="s">
        <v>182</v>
      </c>
      <c r="E3" s="9" t="s">
        <v>183</v>
      </c>
      <c r="F3" s="10">
        <v>191000</v>
      </c>
      <c r="G3" s="9" t="s">
        <v>184</v>
      </c>
      <c r="H3" s="9">
        <v>9</v>
      </c>
      <c r="I3" s="9" t="s">
        <v>185</v>
      </c>
      <c r="J3" s="19" t="s">
        <v>186</v>
      </c>
    </row>
    <row r="4" spans="1:10" ht="60" x14ac:dyDescent="0.25">
      <c r="A4" s="9">
        <v>2</v>
      </c>
      <c r="B4" s="19" t="s">
        <v>146</v>
      </c>
      <c r="C4" s="27" t="s">
        <v>187</v>
      </c>
      <c r="D4" s="19" t="s">
        <v>188</v>
      </c>
      <c r="E4" s="19" t="s">
        <v>189</v>
      </c>
      <c r="F4" s="10">
        <v>330000</v>
      </c>
      <c r="G4" s="9" t="s">
        <v>190</v>
      </c>
      <c r="H4" s="9">
        <v>4</v>
      </c>
      <c r="I4" s="19" t="s">
        <v>191</v>
      </c>
      <c r="J4" s="9" t="s">
        <v>192</v>
      </c>
    </row>
    <row r="5" spans="1:10" ht="60" x14ac:dyDescent="0.25">
      <c r="A5" s="9"/>
      <c r="B5" s="19"/>
      <c r="C5" s="27"/>
      <c r="D5" s="19" t="s">
        <v>188</v>
      </c>
      <c r="E5" s="19" t="s">
        <v>193</v>
      </c>
      <c r="F5" s="10">
        <v>210000</v>
      </c>
      <c r="G5" s="9" t="s">
        <v>190</v>
      </c>
      <c r="H5" s="9">
        <v>4</v>
      </c>
      <c r="I5" s="19" t="s">
        <v>191</v>
      </c>
      <c r="J5" s="9" t="s">
        <v>192</v>
      </c>
    </row>
    <row r="6" spans="1:10" ht="75" x14ac:dyDescent="0.25">
      <c r="A6" s="9">
        <v>3</v>
      </c>
      <c r="B6" s="19" t="s">
        <v>147</v>
      </c>
      <c r="C6" s="27" t="s">
        <v>194</v>
      </c>
      <c r="D6" s="19" t="s">
        <v>195</v>
      </c>
      <c r="E6" s="19" t="s">
        <v>196</v>
      </c>
      <c r="F6" s="10">
        <v>180000</v>
      </c>
      <c r="G6" s="9" t="s">
        <v>197</v>
      </c>
      <c r="H6" s="9">
        <v>7</v>
      </c>
      <c r="I6" s="9" t="s">
        <v>185</v>
      </c>
      <c r="J6" s="9" t="s">
        <v>192</v>
      </c>
    </row>
    <row r="7" spans="1:10" ht="75" x14ac:dyDescent="0.25">
      <c r="A7" s="9">
        <v>4</v>
      </c>
      <c r="B7" s="19" t="s">
        <v>148</v>
      </c>
      <c r="C7" s="27" t="s">
        <v>198</v>
      </c>
      <c r="D7" s="28" t="s">
        <v>199</v>
      </c>
      <c r="E7" s="19" t="s">
        <v>189</v>
      </c>
      <c r="F7" s="10">
        <v>416498</v>
      </c>
      <c r="G7" s="9" t="s">
        <v>200</v>
      </c>
      <c r="H7" s="9">
        <v>5</v>
      </c>
      <c r="I7" s="9" t="s">
        <v>185</v>
      </c>
      <c r="J7" s="9" t="s">
        <v>192</v>
      </c>
    </row>
    <row r="8" spans="1:10" ht="90" x14ac:dyDescent="0.25">
      <c r="A8" s="9">
        <v>5</v>
      </c>
      <c r="B8" s="19" t="s">
        <v>149</v>
      </c>
      <c r="C8" s="27" t="s">
        <v>201</v>
      </c>
      <c r="D8" s="19" t="s">
        <v>202</v>
      </c>
      <c r="E8" s="19" t="s">
        <v>203</v>
      </c>
      <c r="F8" s="10">
        <v>262200</v>
      </c>
      <c r="G8" s="9" t="s">
        <v>204</v>
      </c>
      <c r="H8" s="9">
        <v>5</v>
      </c>
      <c r="I8" s="9" t="s">
        <v>185</v>
      </c>
      <c r="J8" s="9" t="s">
        <v>192</v>
      </c>
    </row>
    <row r="9" spans="1:10" ht="75" x14ac:dyDescent="0.25">
      <c r="A9" s="9">
        <v>6</v>
      </c>
      <c r="B9" s="19" t="s">
        <v>150</v>
      </c>
      <c r="C9" s="27" t="s">
        <v>205</v>
      </c>
      <c r="D9" s="19" t="s">
        <v>206</v>
      </c>
      <c r="E9" s="19" t="s">
        <v>207</v>
      </c>
      <c r="F9" s="10">
        <v>188000</v>
      </c>
      <c r="G9" s="9" t="s">
        <v>208</v>
      </c>
      <c r="H9" s="9">
        <v>5</v>
      </c>
      <c r="I9" s="9" t="s">
        <v>209</v>
      </c>
      <c r="J9" s="9" t="s">
        <v>192</v>
      </c>
    </row>
    <row r="10" spans="1:10" ht="75" x14ac:dyDescent="0.25">
      <c r="A10" s="9">
        <v>7</v>
      </c>
      <c r="B10" s="19" t="s">
        <v>151</v>
      </c>
      <c r="C10" s="27" t="s">
        <v>210</v>
      </c>
      <c r="D10" s="19" t="s">
        <v>211</v>
      </c>
      <c r="E10" s="19" t="s">
        <v>212</v>
      </c>
      <c r="F10" s="10">
        <v>168800</v>
      </c>
      <c r="G10" s="9" t="s">
        <v>213</v>
      </c>
      <c r="H10" s="9">
        <v>5</v>
      </c>
      <c r="I10" s="9" t="s">
        <v>185</v>
      </c>
      <c r="J10" s="9" t="s">
        <v>192</v>
      </c>
    </row>
    <row r="11" spans="1:10" ht="75" x14ac:dyDescent="0.25">
      <c r="A11" s="9">
        <v>8</v>
      </c>
      <c r="B11" s="19" t="s">
        <v>152</v>
      </c>
      <c r="C11" s="27" t="s">
        <v>214</v>
      </c>
      <c r="D11" s="19" t="s">
        <v>215</v>
      </c>
      <c r="E11" s="19" t="s">
        <v>216</v>
      </c>
      <c r="F11" s="10">
        <v>154740</v>
      </c>
      <c r="G11" s="9" t="s">
        <v>217</v>
      </c>
      <c r="H11" s="9">
        <v>4</v>
      </c>
      <c r="I11" s="9" t="s">
        <v>185</v>
      </c>
      <c r="J11" s="9"/>
    </row>
    <row r="12" spans="1:10" ht="105" x14ac:dyDescent="0.25">
      <c r="A12" s="9">
        <v>9</v>
      </c>
      <c r="B12" s="19" t="s">
        <v>153</v>
      </c>
      <c r="C12" s="27" t="s">
        <v>218</v>
      </c>
      <c r="D12" s="19" t="s">
        <v>219</v>
      </c>
      <c r="E12" s="19" t="s">
        <v>220</v>
      </c>
      <c r="F12" s="10">
        <v>177633</v>
      </c>
      <c r="G12" s="9" t="s">
        <v>221</v>
      </c>
      <c r="H12" s="9">
        <v>8</v>
      </c>
      <c r="I12" s="9" t="s">
        <v>185</v>
      </c>
      <c r="J12" s="19" t="s">
        <v>192</v>
      </c>
    </row>
    <row r="13" spans="1:10" ht="60" x14ac:dyDescent="0.25">
      <c r="A13" s="9">
        <v>10</v>
      </c>
      <c r="B13" s="19" t="s">
        <v>222</v>
      </c>
      <c r="C13" s="27" t="s">
        <v>223</v>
      </c>
      <c r="D13" s="19" t="s">
        <v>224</v>
      </c>
      <c r="E13" s="19" t="s">
        <v>189</v>
      </c>
      <c r="F13" s="10">
        <v>298000</v>
      </c>
      <c r="G13" s="9" t="s">
        <v>221</v>
      </c>
      <c r="H13" s="9">
        <v>6</v>
      </c>
      <c r="I13" s="9" t="s">
        <v>185</v>
      </c>
      <c r="J13" s="9" t="s">
        <v>192</v>
      </c>
    </row>
    <row r="14" spans="1:10" ht="60" x14ac:dyDescent="0.25">
      <c r="A14" s="9">
        <v>11</v>
      </c>
      <c r="B14" s="19" t="s">
        <v>225</v>
      </c>
      <c r="C14" s="27" t="s">
        <v>226</v>
      </c>
      <c r="D14" s="19" t="s">
        <v>227</v>
      </c>
      <c r="E14" s="19" t="s">
        <v>228</v>
      </c>
      <c r="F14" s="10">
        <v>225000</v>
      </c>
      <c r="G14" s="9" t="s">
        <v>229</v>
      </c>
      <c r="H14" s="9">
        <v>9</v>
      </c>
      <c r="I14" s="9" t="s">
        <v>185</v>
      </c>
      <c r="J14" s="9" t="s">
        <v>192</v>
      </c>
    </row>
    <row r="15" spans="1:10" ht="30" x14ac:dyDescent="0.25">
      <c r="A15" s="9"/>
      <c r="B15" s="19"/>
      <c r="C15" s="27"/>
      <c r="D15" s="19" t="s">
        <v>230</v>
      </c>
      <c r="E15" s="9" t="s">
        <v>228</v>
      </c>
      <c r="F15" s="10">
        <v>230000</v>
      </c>
      <c r="G15" s="9" t="s">
        <v>231</v>
      </c>
      <c r="H15" s="9">
        <v>8</v>
      </c>
      <c r="I15" s="9" t="s">
        <v>185</v>
      </c>
      <c r="J15" s="9" t="s">
        <v>192</v>
      </c>
    </row>
    <row r="16" spans="1:10" ht="75" x14ac:dyDescent="0.25">
      <c r="A16" s="9">
        <v>12</v>
      </c>
      <c r="B16" s="19" t="s">
        <v>232</v>
      </c>
      <c r="C16" s="27" t="s">
        <v>233</v>
      </c>
      <c r="D16" s="19" t="s">
        <v>234</v>
      </c>
      <c r="E16" s="19" t="s">
        <v>207</v>
      </c>
      <c r="F16" s="10">
        <v>350000</v>
      </c>
      <c r="G16" s="9" t="s">
        <v>235</v>
      </c>
      <c r="H16" s="9">
        <v>6</v>
      </c>
      <c r="I16" s="9" t="s">
        <v>185</v>
      </c>
      <c r="J16" s="9" t="s">
        <v>192</v>
      </c>
    </row>
    <row r="17" spans="1:10" x14ac:dyDescent="0.25">
      <c r="A17" s="9"/>
      <c r="B17" s="19"/>
      <c r="C17" s="27"/>
      <c r="D17" s="19" t="s">
        <v>234</v>
      </c>
      <c r="E17" s="19" t="s">
        <v>207</v>
      </c>
      <c r="F17" s="10">
        <v>360000</v>
      </c>
      <c r="G17" s="9" t="s">
        <v>236</v>
      </c>
      <c r="H17" s="9">
        <v>6</v>
      </c>
      <c r="I17" s="9" t="s">
        <v>185</v>
      </c>
      <c r="J17" s="9" t="s">
        <v>192</v>
      </c>
    </row>
    <row r="18" spans="1:10" ht="90" x14ac:dyDescent="0.25">
      <c r="A18" s="9">
        <v>13</v>
      </c>
      <c r="B18" s="19" t="s">
        <v>237</v>
      </c>
      <c r="C18" s="27" t="s">
        <v>238</v>
      </c>
      <c r="D18" s="19" t="s">
        <v>239</v>
      </c>
      <c r="E18" s="19" t="s">
        <v>207</v>
      </c>
      <c r="F18" s="10">
        <v>240000</v>
      </c>
      <c r="G18" s="9" t="s">
        <v>240</v>
      </c>
      <c r="H18" s="9">
        <v>8</v>
      </c>
      <c r="I18" s="9" t="s">
        <v>185</v>
      </c>
      <c r="J18" s="9"/>
    </row>
    <row r="19" spans="1:10" ht="75" x14ac:dyDescent="0.25">
      <c r="A19" s="9">
        <v>14</v>
      </c>
      <c r="B19" s="19" t="s">
        <v>241</v>
      </c>
      <c r="C19" s="19" t="s">
        <v>242</v>
      </c>
      <c r="D19" s="19" t="s">
        <v>243</v>
      </c>
      <c r="E19" s="19" t="s">
        <v>207</v>
      </c>
      <c r="F19" s="10">
        <v>250000</v>
      </c>
      <c r="G19" s="9" t="s">
        <v>190</v>
      </c>
      <c r="H19" s="9">
        <v>5</v>
      </c>
      <c r="I19" s="9" t="s">
        <v>185</v>
      </c>
      <c r="J19" s="9"/>
    </row>
    <row r="20" spans="1:10" ht="90" x14ac:dyDescent="0.25">
      <c r="A20" s="9">
        <v>15</v>
      </c>
      <c r="B20" s="19" t="s">
        <v>244</v>
      </c>
      <c r="C20" s="27" t="s">
        <v>245</v>
      </c>
      <c r="D20" s="19" t="s">
        <v>246</v>
      </c>
      <c r="E20" s="19" t="s">
        <v>207</v>
      </c>
      <c r="F20" s="10">
        <v>360000</v>
      </c>
      <c r="G20" s="9" t="s">
        <v>247</v>
      </c>
      <c r="H20" s="9">
        <v>13</v>
      </c>
      <c r="I20" s="9" t="s">
        <v>185</v>
      </c>
      <c r="J20" s="9"/>
    </row>
    <row r="24" spans="1:10" ht="30" x14ac:dyDescent="0.25">
      <c r="A24" s="23" t="s">
        <v>154</v>
      </c>
    </row>
    <row r="25" spans="1:10" x14ac:dyDescent="0.25">
      <c r="A25" s="9" t="s">
        <v>143</v>
      </c>
      <c r="B25" s="9" t="s">
        <v>144</v>
      </c>
      <c r="C25" s="9" t="s">
        <v>173</v>
      </c>
      <c r="D25" s="9" t="s">
        <v>174</v>
      </c>
      <c r="E25" s="9" t="s">
        <v>175</v>
      </c>
      <c r="F25" s="9" t="s">
        <v>248</v>
      </c>
      <c r="G25" s="9" t="s">
        <v>177</v>
      </c>
      <c r="H25" s="9" t="s">
        <v>178</v>
      </c>
      <c r="I25" s="9" t="s">
        <v>179</v>
      </c>
      <c r="J25" s="9" t="s">
        <v>180</v>
      </c>
    </row>
    <row r="26" spans="1:10" ht="60" x14ac:dyDescent="0.25">
      <c r="A26" s="9">
        <v>16</v>
      </c>
      <c r="B26" s="19" t="s">
        <v>249</v>
      </c>
      <c r="C26" s="27" t="s">
        <v>250</v>
      </c>
      <c r="D26" s="19" t="s">
        <v>251</v>
      </c>
      <c r="E26" s="9" t="s">
        <v>216</v>
      </c>
      <c r="F26" s="10">
        <v>1535</v>
      </c>
      <c r="G26" s="9" t="s">
        <v>252</v>
      </c>
      <c r="H26" s="9">
        <v>4</v>
      </c>
      <c r="I26" s="9" t="s">
        <v>185</v>
      </c>
      <c r="J26" s="19" t="s">
        <v>253</v>
      </c>
    </row>
    <row r="27" spans="1:10" ht="45" x14ac:dyDescent="0.25">
      <c r="A27" s="9"/>
      <c r="B27" s="9"/>
      <c r="C27" s="9"/>
      <c r="D27" s="19" t="s">
        <v>251</v>
      </c>
      <c r="E27" s="9" t="s">
        <v>216</v>
      </c>
      <c r="F27" s="9">
        <v>435</v>
      </c>
      <c r="G27" s="9" t="s">
        <v>252</v>
      </c>
      <c r="H27" s="9">
        <v>4</v>
      </c>
      <c r="I27" s="9" t="s">
        <v>185</v>
      </c>
      <c r="J27" s="19" t="s">
        <v>254</v>
      </c>
    </row>
    <row r="28" spans="1:10" ht="45" x14ac:dyDescent="0.25">
      <c r="A28" s="9"/>
      <c r="B28" s="9"/>
      <c r="C28" s="9"/>
      <c r="D28" s="19" t="s">
        <v>251</v>
      </c>
      <c r="E28" s="9" t="s">
        <v>216</v>
      </c>
      <c r="F28" s="9">
        <v>1590</v>
      </c>
      <c r="G28" s="9" t="s">
        <v>252</v>
      </c>
      <c r="H28" s="9">
        <v>4</v>
      </c>
      <c r="I28" s="9" t="s">
        <v>185</v>
      </c>
      <c r="J28" s="19" t="s">
        <v>255</v>
      </c>
    </row>
    <row r="29" spans="1:10" ht="45" x14ac:dyDescent="0.25">
      <c r="A29" s="9"/>
      <c r="B29" s="9"/>
      <c r="C29" s="9"/>
      <c r="D29" s="19" t="s">
        <v>251</v>
      </c>
      <c r="E29" s="9" t="s">
        <v>216</v>
      </c>
      <c r="F29" s="9">
        <v>2620</v>
      </c>
      <c r="G29" s="9" t="s">
        <v>252</v>
      </c>
      <c r="H29" s="9">
        <v>4</v>
      </c>
      <c r="I29" s="9" t="s">
        <v>185</v>
      </c>
      <c r="J29" s="19" t="s">
        <v>256</v>
      </c>
    </row>
    <row r="30" spans="1:10" ht="45" x14ac:dyDescent="0.25">
      <c r="A30" s="9"/>
      <c r="B30" s="9"/>
      <c r="C30" s="9"/>
      <c r="D30" s="19" t="s">
        <v>251</v>
      </c>
      <c r="E30" s="9" t="s">
        <v>216</v>
      </c>
      <c r="F30" s="9">
        <v>1325</v>
      </c>
      <c r="G30" s="9" t="s">
        <v>252</v>
      </c>
      <c r="H30" s="9">
        <v>4</v>
      </c>
      <c r="I30" s="9" t="s">
        <v>185</v>
      </c>
      <c r="J30" s="19" t="s">
        <v>257</v>
      </c>
    </row>
    <row r="31" spans="1:10" ht="45" x14ac:dyDescent="0.25">
      <c r="A31" s="9"/>
      <c r="B31" s="9"/>
      <c r="C31" s="9"/>
      <c r="D31" s="19" t="s">
        <v>251</v>
      </c>
      <c r="E31" s="9" t="s">
        <v>216</v>
      </c>
      <c r="F31" s="9">
        <v>670</v>
      </c>
      <c r="G31" s="9" t="s">
        <v>252</v>
      </c>
      <c r="H31" s="9">
        <v>4</v>
      </c>
      <c r="I31" s="9" t="s">
        <v>185</v>
      </c>
      <c r="J31" s="19" t="s">
        <v>258</v>
      </c>
    </row>
    <row r="32" spans="1:10" ht="45" x14ac:dyDescent="0.25">
      <c r="A32" s="9"/>
      <c r="B32" s="9"/>
      <c r="C32" s="9"/>
      <c r="D32" s="19" t="s">
        <v>251</v>
      </c>
      <c r="E32" s="9" t="s">
        <v>216</v>
      </c>
      <c r="F32" s="9">
        <v>300</v>
      </c>
      <c r="G32" s="9" t="s">
        <v>252</v>
      </c>
      <c r="H32" s="9">
        <v>4</v>
      </c>
      <c r="I32" s="9" t="s">
        <v>185</v>
      </c>
      <c r="J32" s="19" t="s">
        <v>259</v>
      </c>
    </row>
    <row r="33" spans="1:10" ht="45" x14ac:dyDescent="0.25">
      <c r="A33" s="9"/>
      <c r="B33" s="9"/>
      <c r="C33" s="9"/>
      <c r="D33" s="19" t="s">
        <v>251</v>
      </c>
      <c r="E33" s="9" t="s">
        <v>216</v>
      </c>
      <c r="F33" s="9">
        <v>1765</v>
      </c>
      <c r="G33" s="9" t="s">
        <v>252</v>
      </c>
      <c r="H33" s="9">
        <v>4</v>
      </c>
      <c r="I33" s="9" t="s">
        <v>185</v>
      </c>
      <c r="J33" s="19" t="s">
        <v>260</v>
      </c>
    </row>
    <row r="34" spans="1:10" ht="60" x14ac:dyDescent="0.25">
      <c r="A34" s="9"/>
      <c r="B34" s="9"/>
      <c r="C34" s="9"/>
      <c r="D34" s="19" t="s">
        <v>261</v>
      </c>
      <c r="E34" s="9" t="s">
        <v>216</v>
      </c>
      <c r="F34" s="9">
        <v>4320</v>
      </c>
      <c r="G34" s="9" t="s">
        <v>252</v>
      </c>
      <c r="H34" s="9">
        <v>4</v>
      </c>
      <c r="I34" s="9" t="s">
        <v>185</v>
      </c>
      <c r="J34" s="19" t="s">
        <v>262</v>
      </c>
    </row>
    <row r="35" spans="1:10" ht="75" x14ac:dyDescent="0.25">
      <c r="A35" s="9"/>
      <c r="B35" s="9"/>
      <c r="C35" s="9"/>
      <c r="D35" s="19" t="s">
        <v>261</v>
      </c>
      <c r="E35" s="9" t="s">
        <v>216</v>
      </c>
      <c r="F35" s="9">
        <v>9050</v>
      </c>
      <c r="G35" s="9" t="s">
        <v>252</v>
      </c>
      <c r="H35" s="9">
        <v>4</v>
      </c>
      <c r="I35" s="9" t="s">
        <v>185</v>
      </c>
      <c r="J35" s="19" t="s">
        <v>263</v>
      </c>
    </row>
    <row r="36" spans="1:10" ht="60" x14ac:dyDescent="0.25">
      <c r="A36" s="9"/>
      <c r="B36" s="9"/>
      <c r="C36" s="9"/>
      <c r="D36" s="19" t="s">
        <v>261</v>
      </c>
      <c r="E36" s="9" t="s">
        <v>216</v>
      </c>
      <c r="F36" s="9">
        <v>3610</v>
      </c>
      <c r="G36" s="9" t="s">
        <v>252</v>
      </c>
      <c r="H36" s="9">
        <v>4</v>
      </c>
      <c r="I36" s="9" t="s">
        <v>185</v>
      </c>
      <c r="J36" s="19" t="s">
        <v>264</v>
      </c>
    </row>
    <row r="37" spans="1:10" ht="60" x14ac:dyDescent="0.25">
      <c r="A37" s="9"/>
      <c r="B37" s="9"/>
      <c r="C37" s="9"/>
      <c r="D37" s="19" t="s">
        <v>261</v>
      </c>
      <c r="E37" s="9" t="s">
        <v>216</v>
      </c>
      <c r="F37" s="9">
        <v>7240</v>
      </c>
      <c r="G37" s="9" t="s">
        <v>252</v>
      </c>
      <c r="H37" s="9">
        <v>4</v>
      </c>
      <c r="I37" s="9" t="s">
        <v>185</v>
      </c>
      <c r="J37" s="19" t="s">
        <v>265</v>
      </c>
    </row>
    <row r="38" spans="1:10" ht="90" x14ac:dyDescent="0.25">
      <c r="A38" s="9"/>
      <c r="B38" s="9"/>
      <c r="C38" s="9"/>
      <c r="D38" s="19" t="s">
        <v>261</v>
      </c>
      <c r="E38" s="9" t="s">
        <v>216</v>
      </c>
      <c r="F38" s="9">
        <v>6490</v>
      </c>
      <c r="G38" s="9" t="s">
        <v>252</v>
      </c>
      <c r="H38" s="9">
        <v>4</v>
      </c>
      <c r="I38" s="9" t="s">
        <v>185</v>
      </c>
      <c r="J38" s="19" t="s">
        <v>266</v>
      </c>
    </row>
    <row r="39" spans="1:10" ht="75" x14ac:dyDescent="0.25">
      <c r="A39" s="9">
        <v>17</v>
      </c>
      <c r="B39" s="19" t="s">
        <v>267</v>
      </c>
      <c r="C39" s="27" t="s">
        <v>268</v>
      </c>
      <c r="D39" s="19" t="s">
        <v>269</v>
      </c>
      <c r="E39" s="9" t="s">
        <v>270</v>
      </c>
      <c r="F39" s="10" t="s">
        <v>271</v>
      </c>
      <c r="G39" s="9" t="s">
        <v>272</v>
      </c>
      <c r="H39" s="9"/>
      <c r="I39" s="9"/>
      <c r="J39" s="19" t="s">
        <v>273</v>
      </c>
    </row>
    <row r="40" spans="1:10" ht="75" x14ac:dyDescent="0.25">
      <c r="A40" s="9">
        <v>18</v>
      </c>
      <c r="B40" s="19" t="s">
        <v>274</v>
      </c>
      <c r="C40" s="27" t="s">
        <v>275</v>
      </c>
      <c r="D40" s="9"/>
      <c r="E40" s="9"/>
      <c r="F40" s="9"/>
      <c r="G40" s="9"/>
      <c r="H40" s="9"/>
      <c r="I40" s="9"/>
      <c r="J40" s="9"/>
    </row>
    <row r="41" spans="1:10" ht="45" x14ac:dyDescent="0.25">
      <c r="A41" s="9"/>
      <c r="B41" s="9"/>
      <c r="C41" s="27" t="s">
        <v>276</v>
      </c>
      <c r="D41" s="19" t="s">
        <v>277</v>
      </c>
      <c r="E41" s="9" t="s">
        <v>278</v>
      </c>
      <c r="F41" s="9">
        <v>5.31</v>
      </c>
      <c r="G41" s="9"/>
      <c r="H41" s="9"/>
      <c r="I41" s="9"/>
      <c r="J41" s="19" t="s">
        <v>279</v>
      </c>
    </row>
    <row r="42" spans="1:10" ht="60" x14ac:dyDescent="0.25">
      <c r="A42" s="9"/>
      <c r="B42" s="9"/>
      <c r="C42" s="32"/>
      <c r="D42" s="19" t="s">
        <v>280</v>
      </c>
      <c r="E42" s="9" t="s">
        <v>278</v>
      </c>
      <c r="F42" s="9">
        <v>1.71</v>
      </c>
      <c r="G42" s="9"/>
      <c r="H42" s="9"/>
      <c r="I42" s="9"/>
      <c r="J42" s="19" t="s">
        <v>281</v>
      </c>
    </row>
    <row r="43" spans="1:10" ht="60" x14ac:dyDescent="0.25">
      <c r="A43" s="9"/>
      <c r="B43" s="9"/>
      <c r="C43" s="32"/>
      <c r="D43" s="19" t="s">
        <v>282</v>
      </c>
      <c r="E43" s="9" t="s">
        <v>278</v>
      </c>
      <c r="F43" s="9">
        <v>1.59</v>
      </c>
      <c r="G43" s="9"/>
      <c r="H43" s="9"/>
      <c r="I43" s="9"/>
      <c r="J43" s="19" t="s">
        <v>283</v>
      </c>
    </row>
    <row r="44" spans="1:10" ht="60" x14ac:dyDescent="0.25">
      <c r="A44" s="9"/>
      <c r="B44" s="9"/>
      <c r="C44" s="32"/>
      <c r="D44" s="19" t="s">
        <v>284</v>
      </c>
      <c r="E44" s="9" t="s">
        <v>278</v>
      </c>
      <c r="F44" s="9">
        <v>0.36</v>
      </c>
      <c r="G44" s="9"/>
      <c r="H44" s="9"/>
      <c r="I44" s="9"/>
      <c r="J44" s="19" t="s">
        <v>285</v>
      </c>
    </row>
    <row r="45" spans="1:10" ht="60" x14ac:dyDescent="0.25">
      <c r="A45" s="9"/>
      <c r="B45" s="9"/>
      <c r="C45" s="32"/>
      <c r="D45" s="19" t="s">
        <v>286</v>
      </c>
      <c r="E45" s="9" t="s">
        <v>278</v>
      </c>
      <c r="F45" s="9">
        <v>1.57</v>
      </c>
      <c r="G45" s="9"/>
      <c r="H45" s="9"/>
      <c r="I45" s="9"/>
      <c r="J45" s="19" t="s">
        <v>287</v>
      </c>
    </row>
    <row r="46" spans="1:10" ht="75" x14ac:dyDescent="0.25">
      <c r="A46" s="9"/>
      <c r="B46" s="9"/>
      <c r="C46" s="9"/>
      <c r="D46" s="19" t="s">
        <v>288</v>
      </c>
      <c r="E46" s="9" t="s">
        <v>278</v>
      </c>
      <c r="F46" s="9">
        <v>7.0000000000000007E-2</v>
      </c>
      <c r="G46" s="9"/>
      <c r="H46" s="9"/>
      <c r="I46" s="9"/>
      <c r="J46" s="19" t="s">
        <v>289</v>
      </c>
    </row>
    <row r="47" spans="1:10" ht="75" x14ac:dyDescent="0.25">
      <c r="A47" s="9">
        <v>19</v>
      </c>
      <c r="B47" s="42" t="s">
        <v>155</v>
      </c>
      <c r="C47" s="27" t="s">
        <v>290</v>
      </c>
      <c r="D47" s="9"/>
      <c r="E47" s="9"/>
      <c r="F47" s="9"/>
      <c r="G47" s="9"/>
      <c r="H47" s="9"/>
      <c r="I47" s="9"/>
      <c r="J47" s="9"/>
    </row>
    <row r="48" spans="1:10" ht="135" x14ac:dyDescent="0.25">
      <c r="A48" s="9"/>
      <c r="B48" s="9"/>
      <c r="C48" s="27" t="s">
        <v>291</v>
      </c>
      <c r="D48" s="9"/>
      <c r="E48" s="9"/>
      <c r="F48" s="9"/>
      <c r="G48" s="9"/>
      <c r="H48" s="9"/>
      <c r="I48" s="9"/>
      <c r="J48" s="19" t="s">
        <v>292</v>
      </c>
    </row>
    <row r="49" spans="1:8" x14ac:dyDescent="0.25">
      <c r="A49" s="9"/>
      <c r="B49" s="9"/>
      <c r="C49" s="9"/>
      <c r="D49" s="9"/>
      <c r="E49" s="9"/>
      <c r="F49" s="9"/>
      <c r="G49" s="9"/>
      <c r="H49" s="9"/>
    </row>
    <row r="50" spans="1:8" x14ac:dyDescent="0.25">
      <c r="A50" s="9"/>
      <c r="B50" s="9"/>
      <c r="C50" s="9"/>
      <c r="D50" s="9"/>
      <c r="E50" s="9"/>
      <c r="F50" s="9"/>
      <c r="G50" s="9"/>
      <c r="H50" s="9"/>
    </row>
    <row r="51" spans="1:8" x14ac:dyDescent="0.25">
      <c r="A51" s="9"/>
      <c r="B51" s="9"/>
      <c r="C51" s="9"/>
      <c r="D51" s="9"/>
      <c r="E51" s="9"/>
      <c r="F51" s="9"/>
      <c r="G51" s="9"/>
      <c r="H51" s="9"/>
    </row>
    <row r="52" spans="1:8" ht="30" x14ac:dyDescent="0.25">
      <c r="A52" s="9" t="s">
        <v>293</v>
      </c>
      <c r="B52" s="9" t="s">
        <v>294</v>
      </c>
      <c r="C52" s="9" t="s">
        <v>295</v>
      </c>
      <c r="D52" s="9" t="s">
        <v>296</v>
      </c>
      <c r="E52" s="19" t="s">
        <v>297</v>
      </c>
    </row>
    <row r="53" spans="1:8" ht="150" x14ac:dyDescent="0.25">
      <c r="A53" s="9" t="s">
        <v>298</v>
      </c>
      <c r="B53" s="9">
        <f>_xlfn.CEILING.MATH(F34*F42)</f>
        <v>7388</v>
      </c>
      <c r="C53" s="9">
        <f>_xlfn.CEILING.MATH(F34*F42/2)</f>
        <v>3694</v>
      </c>
      <c r="D53" s="9" t="s">
        <v>299</v>
      </c>
      <c r="E53" s="35" t="s">
        <v>300</v>
      </c>
    </row>
    <row r="54" spans="1:8" ht="150" x14ac:dyDescent="0.25">
      <c r="A54" s="9" t="s">
        <v>301</v>
      </c>
      <c r="B54" s="9">
        <f>_xlfn.CEILING.MATH(F35*F43)</f>
        <v>14390</v>
      </c>
      <c r="C54" s="9">
        <f>_xlfn.CEILING.MATH(F35*F43/2)</f>
        <v>7195</v>
      </c>
      <c r="D54" s="9" t="s">
        <v>302</v>
      </c>
      <c r="E54" s="35" t="s">
        <v>303</v>
      </c>
    </row>
    <row r="55" spans="1:8" ht="150" x14ac:dyDescent="0.25">
      <c r="A55" s="9" t="s">
        <v>304</v>
      </c>
      <c r="B55" s="9">
        <f>_xlfn.CEILING.MATH(F36*F44)</f>
        <v>1300</v>
      </c>
      <c r="C55" s="9">
        <f>_xlfn.CEILING.MATH(F36*F44/2)</f>
        <v>650</v>
      </c>
      <c r="D55" s="9" t="s">
        <v>305</v>
      </c>
      <c r="E55" s="35" t="s">
        <v>306</v>
      </c>
    </row>
    <row r="56" spans="1:8" ht="150" x14ac:dyDescent="0.25">
      <c r="A56" s="9" t="s">
        <v>307</v>
      </c>
      <c r="B56" s="9">
        <f>_xlfn.CEILING.MATH(F37*F45)</f>
        <v>11367</v>
      </c>
      <c r="C56" s="9">
        <f>_xlfn.CEILING.MATH(F37*F45/2)</f>
        <v>5684</v>
      </c>
      <c r="D56" s="9" t="s">
        <v>308</v>
      </c>
      <c r="E56" s="35" t="s">
        <v>309</v>
      </c>
    </row>
    <row r="57" spans="1:8" ht="150" x14ac:dyDescent="0.25">
      <c r="A57" s="9" t="s">
        <v>310</v>
      </c>
      <c r="B57" s="9">
        <f>_xlfn.CEILING.MATH(F38*F46)</f>
        <v>455</v>
      </c>
      <c r="C57" s="9">
        <f>_xlfn.CEILING.MATH(F38*F46/2)</f>
        <v>228</v>
      </c>
      <c r="D57" s="9" t="s">
        <v>311</v>
      </c>
      <c r="E57" s="35" t="s">
        <v>312</v>
      </c>
    </row>
    <row r="58" spans="1:8" x14ac:dyDescent="0.25">
      <c r="A58" s="9" t="s">
        <v>15</v>
      </c>
      <c r="B58" s="9">
        <f>SUBTOTAL(109,Table14[GABAergic Population Size (Bilateral)])</f>
        <v>34900</v>
      </c>
      <c r="C58" s="9">
        <f>SUBTOTAL(109,Table14[GABAergic Population Size (Unilateral)])</f>
        <v>17451</v>
      </c>
      <c r="D58" s="9"/>
      <c r="E58" s="9"/>
    </row>
    <row r="59" spans="1:8" x14ac:dyDescent="0.25">
      <c r="A59" t="s">
        <v>313</v>
      </c>
    </row>
    <row r="61" spans="1:8" ht="30" x14ac:dyDescent="0.25">
      <c r="A61" s="9" t="s">
        <v>293</v>
      </c>
      <c r="B61" s="19" t="s">
        <v>314</v>
      </c>
      <c r="C61" s="19" t="s">
        <v>315</v>
      </c>
      <c r="D61" s="19" t="s">
        <v>316</v>
      </c>
      <c r="E61" s="19" t="s">
        <v>296</v>
      </c>
      <c r="F61" s="19" t="s">
        <v>317</v>
      </c>
    </row>
    <row r="62" spans="1:8" ht="150" x14ac:dyDescent="0.25">
      <c r="A62" s="9" t="s">
        <v>298</v>
      </c>
      <c r="B62" s="29" t="s">
        <v>318</v>
      </c>
      <c r="C62" s="19" t="s">
        <v>319</v>
      </c>
      <c r="D62" s="10">
        <f>_xlfn.CEILING.MATH(C53/8)</f>
        <v>462</v>
      </c>
      <c r="E62" s="10" t="s">
        <v>320</v>
      </c>
      <c r="F62" s="29" t="s">
        <v>321</v>
      </c>
    </row>
    <row r="63" spans="1:8" ht="150" x14ac:dyDescent="0.25">
      <c r="A63" s="9" t="s">
        <v>301</v>
      </c>
      <c r="B63" s="23" t="s">
        <v>322</v>
      </c>
      <c r="C63" s="19" t="s">
        <v>323</v>
      </c>
      <c r="D63" s="9">
        <f>_xlfn.CEILING.MATH(C54/7)</f>
        <v>1028</v>
      </c>
      <c r="E63" s="9" t="s">
        <v>324</v>
      </c>
      <c r="F63" s="29" t="s">
        <v>325</v>
      </c>
    </row>
    <row r="64" spans="1:8" ht="150" x14ac:dyDescent="0.25">
      <c r="A64" s="9" t="s">
        <v>304</v>
      </c>
      <c r="B64" s="19" t="s">
        <v>326</v>
      </c>
      <c r="C64" s="19" t="s">
        <v>327</v>
      </c>
      <c r="D64" s="9">
        <f>_xlfn.CEILING.MATH(C55/9)</f>
        <v>73</v>
      </c>
      <c r="E64" s="9" t="s">
        <v>328</v>
      </c>
      <c r="F64" s="29" t="s">
        <v>329</v>
      </c>
    </row>
    <row r="65" spans="1:6" ht="150" x14ac:dyDescent="0.25">
      <c r="A65" s="9" t="s">
        <v>307</v>
      </c>
      <c r="B65" s="19" t="s">
        <v>330</v>
      </c>
      <c r="C65" s="19" t="s">
        <v>331</v>
      </c>
      <c r="D65" s="9">
        <f>_xlfn.CEILING.MATH(C56/5)</f>
        <v>1137</v>
      </c>
      <c r="E65" s="9" t="s">
        <v>332</v>
      </c>
      <c r="F65" s="29" t="s">
        <v>333</v>
      </c>
    </row>
    <row r="66" spans="1:6" ht="150" x14ac:dyDescent="0.25">
      <c r="A66" s="9" t="s">
        <v>310</v>
      </c>
      <c r="B66" s="31" t="s">
        <v>334</v>
      </c>
      <c r="C66" s="9" t="s">
        <v>335</v>
      </c>
      <c r="D66" s="9">
        <f>_xlfn.CEILING.MATH(C57)</f>
        <v>228</v>
      </c>
      <c r="E66" s="9" t="s">
        <v>336</v>
      </c>
      <c r="F66" s="29" t="s">
        <v>337</v>
      </c>
    </row>
    <row r="70" spans="1:6" ht="30" x14ac:dyDescent="0.25">
      <c r="A70" s="40" t="s">
        <v>338</v>
      </c>
      <c r="B70" s="40" t="s">
        <v>339</v>
      </c>
      <c r="C70" s="40" t="s">
        <v>296</v>
      </c>
      <c r="D70" s="41" t="s">
        <v>297</v>
      </c>
      <c r="E70" s="41" t="s">
        <v>317</v>
      </c>
    </row>
    <row r="71" spans="1:6" ht="195" x14ac:dyDescent="0.25">
      <c r="A71" s="37" t="s">
        <v>334</v>
      </c>
      <c r="B71" s="38">
        <f>D66*5</f>
        <v>1140</v>
      </c>
      <c r="C71" s="38" t="s">
        <v>340</v>
      </c>
      <c r="D71" s="39" t="s">
        <v>686</v>
      </c>
      <c r="E71" s="30" t="s">
        <v>341</v>
      </c>
    </row>
    <row r="72" spans="1:6" ht="105" x14ac:dyDescent="0.25">
      <c r="A72" s="11" t="s">
        <v>342</v>
      </c>
      <c r="B72" s="36">
        <f>SUM(D62:D65)</f>
        <v>2700</v>
      </c>
      <c r="C72" s="43" t="s">
        <v>343</v>
      </c>
      <c r="D72" s="39" t="s">
        <v>344</v>
      </c>
      <c r="E72" s="30" t="s">
        <v>345</v>
      </c>
    </row>
    <row r="73" spans="1:6" ht="105" x14ac:dyDescent="0.25">
      <c r="A73" s="11" t="s">
        <v>346</v>
      </c>
      <c r="B73" s="8">
        <f>D63</f>
        <v>1028</v>
      </c>
      <c r="C73" s="38" t="s">
        <v>347</v>
      </c>
      <c r="D73" s="39" t="s">
        <v>348</v>
      </c>
      <c r="E73" s="30" t="s">
        <v>349</v>
      </c>
    </row>
    <row r="74" spans="1:6" ht="105" x14ac:dyDescent="0.25">
      <c r="A74" s="11" t="s">
        <v>350</v>
      </c>
      <c r="B74" s="8">
        <f>D63</f>
        <v>1028</v>
      </c>
      <c r="C74" s="38" t="s">
        <v>347</v>
      </c>
      <c r="D74" s="39" t="s">
        <v>351</v>
      </c>
      <c r="E74" s="30" t="s">
        <v>352</v>
      </c>
    </row>
    <row r="75" spans="1:6" ht="105" x14ac:dyDescent="0.25">
      <c r="A75" s="11" t="s">
        <v>353</v>
      </c>
      <c r="B75" s="8">
        <f>D63</f>
        <v>1028</v>
      </c>
      <c r="C75" s="38" t="s">
        <v>347</v>
      </c>
      <c r="D75" s="39" t="s">
        <v>354</v>
      </c>
      <c r="E75" s="30" t="s">
        <v>355</v>
      </c>
    </row>
    <row r="76" spans="1:6" ht="105" x14ac:dyDescent="0.25">
      <c r="A76" s="11" t="s">
        <v>356</v>
      </c>
      <c r="B76" s="36">
        <f>D62+D63</f>
        <v>1490</v>
      </c>
      <c r="C76" s="43" t="s">
        <v>357</v>
      </c>
      <c r="D76" s="39" t="s">
        <v>358</v>
      </c>
      <c r="E76" s="30" t="s">
        <v>359</v>
      </c>
    </row>
    <row r="77" spans="1:6" ht="195" x14ac:dyDescent="0.25">
      <c r="A77" s="11" t="s">
        <v>360</v>
      </c>
      <c r="B77" s="8">
        <f>D64*100</f>
        <v>7300</v>
      </c>
      <c r="C77" s="38" t="s">
        <v>361</v>
      </c>
      <c r="D77" s="39" t="s">
        <v>687</v>
      </c>
      <c r="E77" s="30" t="s">
        <v>362</v>
      </c>
    </row>
    <row r="78" spans="1:6" ht="105" x14ac:dyDescent="0.25">
      <c r="A78" s="11" t="s">
        <v>363</v>
      </c>
      <c r="B78" s="36">
        <f>D62</f>
        <v>462</v>
      </c>
      <c r="C78" s="43" t="s">
        <v>688</v>
      </c>
      <c r="D78" s="39" t="s">
        <v>364</v>
      </c>
      <c r="E78" s="30" t="s">
        <v>365</v>
      </c>
    </row>
    <row r="79" spans="1:6" ht="105" x14ac:dyDescent="0.25">
      <c r="A79" s="11" t="s">
        <v>366</v>
      </c>
      <c r="B79" s="36">
        <f>SUM(D62:D64)</f>
        <v>1563</v>
      </c>
      <c r="C79" s="43" t="s">
        <v>367</v>
      </c>
      <c r="D79" s="39" t="s">
        <v>368</v>
      </c>
      <c r="E79" s="30" t="s">
        <v>369</v>
      </c>
    </row>
    <row r="83" spans="1:6" ht="30" x14ac:dyDescent="0.25">
      <c r="A83" s="34" t="s">
        <v>370</v>
      </c>
      <c r="B83" s="34" t="s">
        <v>371</v>
      </c>
      <c r="C83" s="34" t="s">
        <v>372</v>
      </c>
      <c r="D83" s="34" t="s">
        <v>296</v>
      </c>
      <c r="E83" s="44" t="s">
        <v>297</v>
      </c>
      <c r="F83" s="44" t="s">
        <v>317</v>
      </c>
    </row>
    <row r="84" spans="1:6" ht="315" x14ac:dyDescent="0.25">
      <c r="A84" s="11" t="s">
        <v>373</v>
      </c>
      <c r="B84" s="8">
        <f>_xlfn.FLOOR.MATH(AVERAGE(F4/2,F5/2,F7/2,F8/2,F9/2,F12/2,F13/2,F14/2,F15/2,F16/2,F17/2,F18/2,F19/2,F20/2,F3,F6,F10,F11)*(F43/2))</f>
        <v>116741</v>
      </c>
      <c r="C84" s="30" t="s">
        <v>374</v>
      </c>
      <c r="D84" s="8" t="s">
        <v>375</v>
      </c>
      <c r="E84" s="30" t="s">
        <v>376</v>
      </c>
      <c r="F84" s="30" t="s">
        <v>377</v>
      </c>
    </row>
    <row r="88" spans="1:6" x14ac:dyDescent="0.25">
      <c r="A88" s="40" t="s">
        <v>29</v>
      </c>
      <c r="B88" s="40" t="s">
        <v>694</v>
      </c>
      <c r="C88" s="40" t="s">
        <v>690</v>
      </c>
    </row>
    <row r="89" spans="1:6" x14ac:dyDescent="0.25">
      <c r="A89" s="54" t="s">
        <v>40</v>
      </c>
      <c r="B89" s="54">
        <f>SUM(B71:B79)</f>
        <v>17739</v>
      </c>
      <c r="C89" s="54">
        <f>B89/($B$89 + $B$90)</f>
        <v>0.13190809042236765</v>
      </c>
    </row>
    <row r="90" spans="1:6" x14ac:dyDescent="0.25">
      <c r="A90" s="54" t="s">
        <v>36</v>
      </c>
      <c r="B90" s="54">
        <f>B84</f>
        <v>116741</v>
      </c>
      <c r="C90" s="54">
        <f>B90/($B$89 + $B$90)</f>
        <v>0.86809190957763238</v>
      </c>
    </row>
  </sheetData>
  <hyperlinks>
    <hyperlink ref="C7" r:id="rId1" xr:uid="{00000000-0004-0000-0600-000000000000}"/>
    <hyperlink ref="C4" r:id="rId2" xr:uid="{00000000-0004-0000-0600-000001000000}"/>
    <hyperlink ref="C3" r:id="rId3" xr:uid="{00000000-0004-0000-0600-000002000000}"/>
    <hyperlink ref="C6" r:id="rId4" xr:uid="{00000000-0004-0000-0600-000003000000}"/>
    <hyperlink ref="C8" r:id="rId5" xr:uid="{00000000-0004-0000-0600-000004000000}"/>
    <hyperlink ref="C9" r:id="rId6" xr:uid="{00000000-0004-0000-0600-000005000000}"/>
    <hyperlink ref="C10" r:id="rId7" xr:uid="{00000000-0004-0000-0600-000006000000}"/>
    <hyperlink ref="C11" r:id="rId8" xr:uid="{00000000-0004-0000-0600-000007000000}"/>
    <hyperlink ref="C12" r:id="rId9" xr:uid="{00000000-0004-0000-0600-000008000000}"/>
    <hyperlink ref="C13" r:id="rId10" xr:uid="{00000000-0004-0000-0600-000009000000}"/>
    <hyperlink ref="C14" r:id="rId11" xr:uid="{00000000-0004-0000-0600-00000A000000}"/>
    <hyperlink ref="C16" r:id="rId12" xr:uid="{00000000-0004-0000-0600-00000B000000}"/>
    <hyperlink ref="C18" r:id="rId13" xr:uid="{00000000-0004-0000-0600-00000C000000}"/>
    <hyperlink ref="C20" r:id="rId14" xr:uid="{00000000-0004-0000-0600-00000D000000}"/>
    <hyperlink ref="C26" r:id="rId15" xr:uid="{00000000-0004-0000-0600-00000E000000}"/>
    <hyperlink ref="C39" r:id="rId16" xr:uid="{00000000-0004-0000-0600-00000F000000}"/>
    <hyperlink ref="C40" r:id="rId17" xr:uid="{00000000-0004-0000-0600-000010000000}"/>
    <hyperlink ref="C41" r:id="rId18" xr:uid="{00000000-0004-0000-0600-000011000000}"/>
    <hyperlink ref="C47" r:id="rId19" xr:uid="{00000000-0004-0000-0600-000012000000}"/>
    <hyperlink ref="C48" r:id="rId20" xr:uid="{00000000-0004-0000-0600-000013000000}"/>
  </hyperlinks>
  <pageMargins left="0.7" right="0.7" top="0.75" bottom="0.75" header="0.3" footer="0.3"/>
  <pageSetup orientation="portrait" r:id="rId21"/>
  <ignoredErrors>
    <ignoredError sqref="B53 B54:B57" calculatedColumn="1"/>
  </ignoredErrors>
  <drawing r:id="rId22"/>
  <tableParts count="4">
    <tablePart r:id="rId23"/>
    <tablePart r:id="rId24"/>
    <tablePart r:id="rId25"/>
    <tablePart r:id="rId2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D1E96F-97FB-4CC6-B325-FDFF7C47F5B1}">
  <sheetPr codeName="Sheet7"/>
  <dimension ref="A1:C12"/>
  <sheetViews>
    <sheetView workbookViewId="0">
      <selection activeCell="A2" sqref="A2"/>
    </sheetView>
  </sheetViews>
  <sheetFormatPr defaultColWidth="8.85546875" defaultRowHeight="15" x14ac:dyDescent="0.25"/>
  <cols>
    <col min="1" max="1" width="12.42578125" bestFit="1" customWidth="1"/>
    <col min="2" max="2" width="15.140625" customWidth="1"/>
  </cols>
  <sheetData>
    <row r="1" spans="1:3" ht="30" x14ac:dyDescent="0.25">
      <c r="A1" s="46" t="s">
        <v>378</v>
      </c>
      <c r="B1" s="46" t="s">
        <v>379</v>
      </c>
    </row>
    <row r="2" spans="1:3" ht="37.5" x14ac:dyDescent="0.25">
      <c r="A2" s="13" t="s">
        <v>67</v>
      </c>
      <c r="B2" s="51">
        <f>(0.41*pop_size_est_calc_external!B23)</f>
        <v>170473.49</v>
      </c>
    </row>
    <row r="3" spans="1:3" ht="37.5" x14ac:dyDescent="0.25">
      <c r="A3" s="13" t="s">
        <v>71</v>
      </c>
      <c r="B3" s="80">
        <f>(0.41*pop_size_est_calc_external!B24)</f>
        <v>13605.029999999999</v>
      </c>
    </row>
    <row r="5" spans="1:3" x14ac:dyDescent="0.25">
      <c r="A5" s="42"/>
    </row>
    <row r="6" spans="1:3" x14ac:dyDescent="0.25">
      <c r="B6" t="s">
        <v>172</v>
      </c>
    </row>
    <row r="8" spans="1:3" x14ac:dyDescent="0.25">
      <c r="A8" s="66"/>
      <c r="B8" s="64">
        <f>GetColorCountPopExt($B$2:$B$3,A8)</f>
        <v>1</v>
      </c>
      <c r="C8" s="9"/>
    </row>
    <row r="9" spans="1:3" x14ac:dyDescent="0.25">
      <c r="A9" s="68"/>
      <c r="B9" s="64">
        <f>GetColorCountPopExt($B$2:$B$3,A9)</f>
        <v>1</v>
      </c>
      <c r="C9" s="9"/>
    </row>
    <row r="10" spans="1:3" x14ac:dyDescent="0.25">
      <c r="A10" s="67"/>
      <c r="B10" s="64">
        <f>GetColorCountPopExt($B$2:$B$3,A10)</f>
        <v>0</v>
      </c>
    </row>
    <row r="11" spans="1:3" x14ac:dyDescent="0.25">
      <c r="A11" s="79"/>
      <c r="B11" s="64">
        <f>GetColorCountPopExt($B$2:$B$3,A11)</f>
        <v>0</v>
      </c>
    </row>
    <row r="12" spans="1:3" x14ac:dyDescent="0.25">
      <c r="A12" s="78"/>
      <c r="B12" s="64">
        <f t="shared" ref="B12" si="0">GetColorCountPopExt($B$2:$B$3,A12)</f>
        <v>0</v>
      </c>
    </row>
  </sheetData>
  <hyperlinks>
    <hyperlink ref="B2" location="pop_size_est_calc_external!B23" display="pop_size_est_calc_external!B23" xr:uid="{00000000-0004-0000-0700-000000000000}"/>
    <hyperlink ref="B3" location="pop_size_est_calc_external!B24" display="pop_size_est_calc_external!B24" xr:uid="{00000000-0004-0000-0700-000001000000}"/>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59689-B7B4-4ADF-AB2D-FAEBB65B24C9}">
  <sheetPr codeName="Sheet8"/>
  <dimension ref="A1:J24"/>
  <sheetViews>
    <sheetView workbookViewId="0"/>
  </sheetViews>
  <sheetFormatPr defaultColWidth="8.85546875" defaultRowHeight="15" x14ac:dyDescent="0.25"/>
  <cols>
    <col min="1" max="1" width="43.42578125" customWidth="1"/>
    <col min="2" max="2" width="42.85546875" customWidth="1"/>
    <col min="3" max="3" width="21.42578125" customWidth="1"/>
    <col min="4" max="4" width="33.7109375" bestFit="1" customWidth="1"/>
    <col min="5" max="5" width="33.42578125" customWidth="1"/>
    <col min="6" max="6" width="27.140625" bestFit="1" customWidth="1"/>
    <col min="7" max="10" width="24.7109375" customWidth="1"/>
  </cols>
  <sheetData>
    <row r="1" spans="1:10" x14ac:dyDescent="0.25">
      <c r="A1" s="23" t="s">
        <v>380</v>
      </c>
      <c r="B1" s="9"/>
      <c r="C1" s="9"/>
      <c r="D1" s="9"/>
      <c r="E1" s="9"/>
      <c r="F1" s="9"/>
      <c r="G1" s="9"/>
      <c r="H1" s="9"/>
      <c r="I1" s="9"/>
      <c r="J1" s="9"/>
    </row>
    <row r="2" spans="1:10" x14ac:dyDescent="0.25">
      <c r="A2" s="9" t="s">
        <v>143</v>
      </c>
      <c r="B2" s="9" t="s">
        <v>144</v>
      </c>
      <c r="C2" s="9" t="s">
        <v>173</v>
      </c>
      <c r="D2" s="9" t="s">
        <v>174</v>
      </c>
      <c r="E2" s="9" t="s">
        <v>175</v>
      </c>
      <c r="F2" s="9" t="s">
        <v>381</v>
      </c>
      <c r="G2" s="9" t="s">
        <v>177</v>
      </c>
      <c r="H2" s="9" t="s">
        <v>178</v>
      </c>
      <c r="I2" s="9" t="s">
        <v>179</v>
      </c>
      <c r="J2" s="9" t="s">
        <v>180</v>
      </c>
    </row>
    <row r="3" spans="1:10" ht="105" x14ac:dyDescent="0.25">
      <c r="A3" s="9">
        <v>1</v>
      </c>
      <c r="B3" s="19" t="s">
        <v>382</v>
      </c>
      <c r="C3" s="27"/>
      <c r="D3" s="19"/>
      <c r="E3" s="19"/>
      <c r="F3" s="10">
        <v>415789</v>
      </c>
      <c r="G3" s="9"/>
      <c r="H3" s="9"/>
      <c r="I3" s="19" t="s">
        <v>383</v>
      </c>
      <c r="J3" s="19"/>
    </row>
    <row r="14" spans="1:10" x14ac:dyDescent="0.25">
      <c r="A14" s="23" t="s">
        <v>384</v>
      </c>
    </row>
    <row r="15" spans="1:10" x14ac:dyDescent="0.25">
      <c r="A15" s="9" t="s">
        <v>143</v>
      </c>
      <c r="B15" s="9" t="s">
        <v>144</v>
      </c>
      <c r="C15" s="9" t="s">
        <v>173</v>
      </c>
      <c r="D15" s="9" t="s">
        <v>174</v>
      </c>
      <c r="E15" s="9" t="s">
        <v>175</v>
      </c>
      <c r="F15" s="9" t="s">
        <v>381</v>
      </c>
      <c r="G15" s="9" t="s">
        <v>177</v>
      </c>
      <c r="H15" s="9" t="s">
        <v>178</v>
      </c>
      <c r="I15" s="9" t="s">
        <v>179</v>
      </c>
      <c r="J15" s="9" t="s">
        <v>180</v>
      </c>
    </row>
    <row r="16" spans="1:10" ht="90" x14ac:dyDescent="0.25">
      <c r="A16" s="9">
        <v>2</v>
      </c>
      <c r="B16" s="19" t="s">
        <v>385</v>
      </c>
      <c r="C16" s="27"/>
      <c r="D16" s="9" t="s">
        <v>386</v>
      </c>
      <c r="E16" s="9"/>
      <c r="F16" s="9">
        <f t="shared" ref="F16" si="0">_xlfn.CEILING.MATH(66365/2)</f>
        <v>33183</v>
      </c>
      <c r="G16" s="9"/>
      <c r="H16" s="9"/>
      <c r="I16" s="19" t="s">
        <v>387</v>
      </c>
      <c r="J16" s="19" t="s">
        <v>388</v>
      </c>
    </row>
    <row r="17" spans="1:10" x14ac:dyDescent="0.25">
      <c r="A17" s="9"/>
      <c r="B17" s="9"/>
      <c r="C17" s="27"/>
      <c r="D17" s="19"/>
      <c r="E17" s="9"/>
      <c r="F17" s="10"/>
      <c r="G17" s="9"/>
      <c r="H17" s="9"/>
      <c r="I17" s="9"/>
      <c r="J17" s="19"/>
    </row>
    <row r="22" spans="1:10" x14ac:dyDescent="0.25">
      <c r="A22" s="34" t="s">
        <v>389</v>
      </c>
      <c r="B22" s="34" t="s">
        <v>390</v>
      </c>
    </row>
    <row r="23" spans="1:10" ht="18.75" x14ac:dyDescent="0.25">
      <c r="A23" s="11" t="s">
        <v>67</v>
      </c>
      <c r="B23" s="36">
        <f>F3</f>
        <v>415789</v>
      </c>
    </row>
    <row r="24" spans="1:10" ht="18.75" x14ac:dyDescent="0.25">
      <c r="A24" s="11" t="s">
        <v>391</v>
      </c>
      <c r="B24" s="36">
        <f>F16</f>
        <v>33183</v>
      </c>
    </row>
  </sheetData>
  <pageMargins left="0.7" right="0.7" top="0.75" bottom="0.75" header="0.3" footer="0.3"/>
  <pageSetup orientation="portrait" verticalDpi="0" r:id="rId1"/>
  <tableParts count="2">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8B809-D87B-4B58-AF74-A45A69BDC218}">
  <sheetPr codeName="Sheet9">
    <tabColor rgb="FFFF0000"/>
  </sheetPr>
  <dimension ref="A1:T18"/>
  <sheetViews>
    <sheetView workbookViewId="0"/>
  </sheetViews>
  <sheetFormatPr defaultColWidth="8.85546875" defaultRowHeight="15" x14ac:dyDescent="0.25"/>
  <cols>
    <col min="1" max="1" width="26.7109375" bestFit="1" customWidth="1"/>
    <col min="5" max="5" width="12.140625" bestFit="1" customWidth="1"/>
    <col min="16" max="16" width="12.85546875" bestFit="1" customWidth="1"/>
    <col min="18" max="18" width="12.7109375" bestFit="1" customWidth="1"/>
    <col min="19" max="19" width="12.140625" bestFit="1" customWidth="1"/>
    <col min="20" max="20" width="11" bestFit="1" customWidth="1"/>
  </cols>
  <sheetData>
    <row r="1" spans="1:20" x14ac:dyDescent="0.25">
      <c r="A1" s="54" t="s">
        <v>392</v>
      </c>
      <c r="B1" s="54" t="s">
        <v>393</v>
      </c>
      <c r="C1" s="54" t="s">
        <v>394</v>
      </c>
      <c r="D1" s="54" t="s">
        <v>395</v>
      </c>
      <c r="E1" s="54" t="s">
        <v>396</v>
      </c>
      <c r="F1" s="54" t="s">
        <v>397</v>
      </c>
      <c r="G1" s="54" t="s">
        <v>398</v>
      </c>
      <c r="H1" s="54" t="s">
        <v>399</v>
      </c>
      <c r="I1" s="54" t="s">
        <v>400</v>
      </c>
      <c r="J1" s="54" t="s">
        <v>401</v>
      </c>
      <c r="K1" s="54" t="s">
        <v>402</v>
      </c>
      <c r="L1" s="54" t="s">
        <v>403</v>
      </c>
      <c r="M1" s="54" t="s">
        <v>404</v>
      </c>
      <c r="N1" s="54" t="s">
        <v>405</v>
      </c>
      <c r="O1" s="54" t="s">
        <v>406</v>
      </c>
      <c r="P1" s="54" t="s">
        <v>407</v>
      </c>
      <c r="Q1" s="54" t="s">
        <v>408</v>
      </c>
      <c r="R1" s="54" t="s">
        <v>409</v>
      </c>
      <c r="S1" s="54" t="s">
        <v>410</v>
      </c>
      <c r="T1" s="9"/>
    </row>
    <row r="2" spans="1:20" ht="18.75" x14ac:dyDescent="0.25">
      <c r="A2" s="13" t="s">
        <v>55</v>
      </c>
      <c r="B2">
        <v>1.1036143439999999</v>
      </c>
      <c r="C2" s="116">
        <v>0</v>
      </c>
      <c r="D2" s="33">
        <v>9.9400000000000009E-4</v>
      </c>
      <c r="E2" s="116">
        <v>0</v>
      </c>
      <c r="F2">
        <v>-61.264478220000001</v>
      </c>
      <c r="G2" s="116">
        <v>0</v>
      </c>
      <c r="H2">
        <v>43</v>
      </c>
      <c r="I2" s="116">
        <v>0</v>
      </c>
      <c r="J2">
        <v>54</v>
      </c>
      <c r="K2" s="116">
        <v>0</v>
      </c>
      <c r="L2">
        <v>-67.725307200000003</v>
      </c>
      <c r="M2" s="116">
        <v>0</v>
      </c>
      <c r="N2">
        <v>-24.088923390000001</v>
      </c>
      <c r="O2" s="116">
        <v>0</v>
      </c>
      <c r="P2">
        <v>-42.7378584</v>
      </c>
      <c r="Q2" s="116">
        <v>0</v>
      </c>
      <c r="R2">
        <v>10.38028985</v>
      </c>
      <c r="S2" s="116">
        <v>0</v>
      </c>
      <c r="T2" s="9"/>
    </row>
    <row r="3" spans="1:20" ht="18.75" x14ac:dyDescent="0.25">
      <c r="A3" s="13" t="s">
        <v>695</v>
      </c>
      <c r="B3">
        <v>1.7760086158378201</v>
      </c>
      <c r="C3" s="116">
        <v>0</v>
      </c>
      <c r="D3">
        <v>5.8433207221631799E-3</v>
      </c>
      <c r="E3" s="116">
        <v>0</v>
      </c>
      <c r="F3">
        <v>-3.4487364836572301</v>
      </c>
      <c r="G3" s="116">
        <v>0</v>
      </c>
      <c r="H3">
        <v>52</v>
      </c>
      <c r="I3" s="116">
        <v>0</v>
      </c>
      <c r="J3">
        <v>186</v>
      </c>
      <c r="K3" s="116">
        <v>0</v>
      </c>
      <c r="L3">
        <v>-73.482111692286793</v>
      </c>
      <c r="M3" s="116">
        <v>0</v>
      </c>
      <c r="N3">
        <v>-54.936905899612903</v>
      </c>
      <c r="O3" s="116">
        <v>0</v>
      </c>
      <c r="P3">
        <v>-64.403715722203103</v>
      </c>
      <c r="Q3" s="116">
        <v>0</v>
      </c>
      <c r="R3">
        <v>7.0663132823604098</v>
      </c>
      <c r="S3" s="116">
        <v>0</v>
      </c>
      <c r="T3" s="9"/>
    </row>
    <row r="4" spans="1:20" ht="18.75" x14ac:dyDescent="0.25">
      <c r="A4" s="13" t="s">
        <v>39</v>
      </c>
      <c r="B4">
        <v>3.96146287759279</v>
      </c>
      <c r="C4" s="116">
        <v>0</v>
      </c>
      <c r="D4">
        <v>4.6386080718715398E-3</v>
      </c>
      <c r="E4" s="116">
        <v>0</v>
      </c>
      <c r="F4">
        <v>8.6836449365341704</v>
      </c>
      <c r="G4" s="116">
        <v>0</v>
      </c>
      <c r="H4">
        <v>15</v>
      </c>
      <c r="I4" s="116">
        <v>0</v>
      </c>
      <c r="J4">
        <v>165</v>
      </c>
      <c r="K4" s="116">
        <v>0</v>
      </c>
      <c r="L4">
        <v>-57.099782869594002</v>
      </c>
      <c r="M4" s="116">
        <v>0</v>
      </c>
      <c r="N4">
        <v>-51.718756282022298</v>
      </c>
      <c r="O4" s="116">
        <v>0</v>
      </c>
      <c r="P4">
        <v>-73.968504212537198</v>
      </c>
      <c r="Q4" s="116">
        <v>0</v>
      </c>
      <c r="R4">
        <v>27.7986355932787</v>
      </c>
      <c r="S4" s="116">
        <v>0</v>
      </c>
      <c r="T4" s="9"/>
    </row>
    <row r="5" spans="1:20" ht="18.75" x14ac:dyDescent="0.25">
      <c r="A5" s="13" t="s">
        <v>43</v>
      </c>
      <c r="B5">
        <v>0.99517290000000003</v>
      </c>
      <c r="C5" s="116">
        <v>0</v>
      </c>
      <c r="D5">
        <v>3.8461860000000001E-3</v>
      </c>
      <c r="E5" s="116">
        <v>0</v>
      </c>
      <c r="F5">
        <v>9.2642764999999994</v>
      </c>
      <c r="G5" s="116">
        <v>0</v>
      </c>
      <c r="H5">
        <v>-6</v>
      </c>
      <c r="I5" s="116">
        <v>0</v>
      </c>
      <c r="J5">
        <v>45</v>
      </c>
      <c r="K5" s="116">
        <v>0</v>
      </c>
      <c r="L5">
        <v>-57.506126000000002</v>
      </c>
      <c r="M5" s="116">
        <v>0</v>
      </c>
      <c r="N5">
        <v>-23.378765999999999</v>
      </c>
      <c r="O5" s="116">
        <v>0</v>
      </c>
      <c r="P5">
        <v>-47.555661000000001</v>
      </c>
      <c r="Q5" s="116">
        <v>0</v>
      </c>
      <c r="R5">
        <v>18.454934000000002</v>
      </c>
      <c r="S5" s="116">
        <v>0</v>
      </c>
      <c r="T5" s="9"/>
    </row>
    <row r="6" spans="1:20" ht="18.75" x14ac:dyDescent="0.25">
      <c r="A6" s="13" t="s">
        <v>46</v>
      </c>
      <c r="B6">
        <v>0.58300518599999995</v>
      </c>
      <c r="C6" s="116">
        <v>0</v>
      </c>
      <c r="D6">
        <v>5.7448300000000002E-3</v>
      </c>
      <c r="E6" s="116">
        <v>0</v>
      </c>
      <c r="F6">
        <v>-1.2448457150000001</v>
      </c>
      <c r="G6" s="116">
        <v>0</v>
      </c>
      <c r="H6">
        <v>54</v>
      </c>
      <c r="I6" s="116">
        <v>0</v>
      </c>
      <c r="J6">
        <v>135</v>
      </c>
      <c r="K6" s="116">
        <v>0</v>
      </c>
      <c r="L6">
        <v>-58.996677339999998</v>
      </c>
      <c r="M6" s="116">
        <v>0</v>
      </c>
      <c r="N6">
        <v>-39.39832097</v>
      </c>
      <c r="O6" s="116">
        <v>0</v>
      </c>
      <c r="P6">
        <v>-42.771185099999997</v>
      </c>
      <c r="Q6" s="116">
        <v>0</v>
      </c>
      <c r="R6">
        <v>18.27458854</v>
      </c>
      <c r="S6" s="116">
        <v>0</v>
      </c>
      <c r="T6" s="9"/>
    </row>
    <row r="7" spans="1:20" ht="18.75" x14ac:dyDescent="0.25">
      <c r="A7" s="13" t="s">
        <v>49</v>
      </c>
      <c r="B7">
        <v>3.9350304949999999</v>
      </c>
      <c r="C7" s="116">
        <v>0</v>
      </c>
      <c r="D7">
        <v>1.952449E-3</v>
      </c>
      <c r="E7" s="116">
        <v>0</v>
      </c>
      <c r="F7">
        <v>16.579570459999999</v>
      </c>
      <c r="G7" s="116">
        <v>0</v>
      </c>
      <c r="H7">
        <v>19</v>
      </c>
      <c r="I7" s="116">
        <v>0</v>
      </c>
      <c r="J7">
        <v>107</v>
      </c>
      <c r="K7" s="116">
        <v>0</v>
      </c>
      <c r="L7">
        <v>-64.672628079999996</v>
      </c>
      <c r="M7" s="116">
        <v>0</v>
      </c>
      <c r="N7">
        <v>-58.743971539999997</v>
      </c>
      <c r="O7" s="116">
        <v>0</v>
      </c>
      <c r="P7">
        <v>-59.703262580000001</v>
      </c>
      <c r="Q7" s="116">
        <v>0</v>
      </c>
      <c r="R7">
        <v>-9.928793958</v>
      </c>
      <c r="S7" s="116">
        <v>0</v>
      </c>
      <c r="T7" s="9"/>
    </row>
    <row r="8" spans="1:20" ht="18.75" x14ac:dyDescent="0.25">
      <c r="A8" s="13" t="s">
        <v>52</v>
      </c>
      <c r="B8">
        <v>1.9160382294204601</v>
      </c>
      <c r="C8" s="116">
        <v>0</v>
      </c>
      <c r="D8">
        <v>9.1511581301580002E-3</v>
      </c>
      <c r="E8" s="116">
        <v>0</v>
      </c>
      <c r="F8">
        <v>1.9083370231896599</v>
      </c>
      <c r="G8" s="116">
        <v>0</v>
      </c>
      <c r="H8">
        <v>45</v>
      </c>
      <c r="I8" s="116">
        <v>0</v>
      </c>
      <c r="J8">
        <v>364</v>
      </c>
      <c r="K8" s="116">
        <v>0</v>
      </c>
      <c r="L8">
        <v>-70.434513575026102</v>
      </c>
      <c r="M8" s="116">
        <v>0</v>
      </c>
      <c r="N8">
        <v>-40.858926375835502</v>
      </c>
      <c r="O8" s="116">
        <v>0</v>
      </c>
      <c r="P8">
        <v>-53.399850333600902</v>
      </c>
      <c r="Q8" s="116">
        <v>0</v>
      </c>
      <c r="R8">
        <v>-6.9197367156022596</v>
      </c>
      <c r="S8" s="116">
        <v>0</v>
      </c>
      <c r="T8" s="9"/>
    </row>
    <row r="9" spans="1:20" ht="18.75" x14ac:dyDescent="0.25">
      <c r="A9" s="13" t="s">
        <v>64</v>
      </c>
      <c r="B9">
        <v>1.37980713457205</v>
      </c>
      <c r="C9" s="116">
        <v>0</v>
      </c>
      <c r="D9">
        <v>7.8380597936410397E-3</v>
      </c>
      <c r="E9" s="116">
        <v>0</v>
      </c>
      <c r="F9">
        <v>12.9332855397722</v>
      </c>
      <c r="G9" s="116">
        <v>0</v>
      </c>
      <c r="H9">
        <v>0</v>
      </c>
      <c r="I9" s="116">
        <v>0</v>
      </c>
      <c r="J9">
        <v>209</v>
      </c>
      <c r="K9" s="116">
        <v>0</v>
      </c>
      <c r="L9">
        <v>-57.076423571379003</v>
      </c>
      <c r="M9" s="116">
        <v>0</v>
      </c>
      <c r="N9">
        <v>-39.102042784176199</v>
      </c>
      <c r="O9" s="116">
        <v>0</v>
      </c>
      <c r="P9">
        <v>-40.680664885269501</v>
      </c>
      <c r="Q9" s="116">
        <v>0</v>
      </c>
      <c r="R9">
        <v>16.3132681887705</v>
      </c>
      <c r="S9" s="116">
        <v>0</v>
      </c>
      <c r="T9" s="9"/>
    </row>
    <row r="10" spans="1:20" ht="18.75" x14ac:dyDescent="0.25">
      <c r="A10" s="13" t="s">
        <v>34</v>
      </c>
      <c r="B10">
        <v>0.79233870378958104</v>
      </c>
      <c r="C10" s="116">
        <v>0</v>
      </c>
      <c r="D10">
        <v>8.3835033409827894E-3</v>
      </c>
      <c r="E10" s="116">
        <v>0</v>
      </c>
      <c r="F10">
        <v>-42.552477688392798</v>
      </c>
      <c r="G10" s="116">
        <v>0</v>
      </c>
      <c r="H10">
        <v>588</v>
      </c>
      <c r="I10" s="116">
        <v>0</v>
      </c>
      <c r="J10">
        <v>366</v>
      </c>
      <c r="K10" s="116">
        <v>0</v>
      </c>
      <c r="L10">
        <v>-63.204400817165499</v>
      </c>
      <c r="M10" s="116">
        <v>0</v>
      </c>
      <c r="N10">
        <v>-33.604173312426703</v>
      </c>
      <c r="O10" s="116">
        <v>0</v>
      </c>
      <c r="P10">
        <v>-38.868099029409102</v>
      </c>
      <c r="Q10" s="116">
        <v>0</v>
      </c>
      <c r="R10">
        <v>35.861464855872597</v>
      </c>
      <c r="S10" s="116">
        <v>0</v>
      </c>
      <c r="T10" s="9"/>
    </row>
    <row r="12" spans="1:20" x14ac:dyDescent="0.25">
      <c r="C12" s="31" t="s">
        <v>172</v>
      </c>
    </row>
    <row r="14" spans="1:20" x14ac:dyDescent="0.25">
      <c r="A14" s="66"/>
      <c r="B14">
        <f>GetColorCountIM($B$2:$S$10,A14)</f>
        <v>81</v>
      </c>
    </row>
    <row r="15" spans="1:20" x14ac:dyDescent="0.25">
      <c r="A15" s="68"/>
      <c r="B15">
        <f>GetColorCountIM($B$2:$S$10,A15)</f>
        <v>0</v>
      </c>
    </row>
    <row r="16" spans="1:20" x14ac:dyDescent="0.25">
      <c r="A16" s="67"/>
      <c r="B16">
        <f>GetColorCountIM($B$2:$S$10,A16)</f>
        <v>0</v>
      </c>
    </row>
    <row r="17" spans="1:2" x14ac:dyDescent="0.25">
      <c r="A17" s="79"/>
      <c r="B17">
        <f>GetColorCountIM($B$2:$S$10,A17)</f>
        <v>0</v>
      </c>
    </row>
    <row r="18" spans="1:2" x14ac:dyDescent="0.25">
      <c r="A18" s="78"/>
      <c r="B18">
        <f>GetColorCountIM($B$2:$S$10,A18)</f>
        <v>0</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CD933-F4F5-4240-A9CC-A6258F774FCD}">
  <sheetPr codeName="Sheet10">
    <tabColor rgb="FFFF0000"/>
  </sheetPr>
  <dimension ref="A1:AE254"/>
  <sheetViews>
    <sheetView topLeftCell="A44" workbookViewId="0">
      <selection activeCell="N70" sqref="N70"/>
    </sheetView>
  </sheetViews>
  <sheetFormatPr defaultColWidth="8.85546875" defaultRowHeight="15" x14ac:dyDescent="0.25"/>
  <cols>
    <col min="1" max="1" width="28.7109375" customWidth="1"/>
    <col min="2" max="2" width="36.85546875" customWidth="1"/>
    <col min="3" max="3" width="22.42578125" customWidth="1"/>
    <col min="4" max="4" width="27" customWidth="1"/>
    <col min="5" max="5" width="25.85546875" customWidth="1"/>
    <col min="6" max="7" width="10.140625" customWidth="1"/>
    <col min="8" max="8" width="10.42578125" customWidth="1"/>
    <col min="9" max="10" width="13.42578125" customWidth="1"/>
    <col min="11" max="11" width="16.42578125" customWidth="1"/>
    <col min="23" max="23" width="23.140625" customWidth="1"/>
    <col min="24" max="24" width="33.85546875" customWidth="1"/>
    <col min="25" max="25" width="26.42578125" customWidth="1"/>
  </cols>
  <sheetData>
    <row r="1" spans="1:5" ht="30" x14ac:dyDescent="0.25">
      <c r="A1" s="23" t="s">
        <v>658</v>
      </c>
      <c r="B1" s="9"/>
    </row>
    <row r="2" spans="1:5" x14ac:dyDescent="0.25">
      <c r="A2" s="9" t="s">
        <v>143</v>
      </c>
      <c r="B2" s="9" t="s">
        <v>144</v>
      </c>
      <c r="C2" s="9" t="s">
        <v>173</v>
      </c>
      <c r="D2" s="9" t="s">
        <v>179</v>
      </c>
      <c r="E2" s="9" t="s">
        <v>427</v>
      </c>
    </row>
    <row r="3" spans="1:5" ht="45" x14ac:dyDescent="0.25">
      <c r="A3" s="9">
        <v>1</v>
      </c>
      <c r="B3" s="19" t="s">
        <v>156</v>
      </c>
      <c r="C3" s="27" t="s">
        <v>630</v>
      </c>
      <c r="D3" s="27"/>
      <c r="E3" s="27"/>
    </row>
    <row r="4" spans="1:5" ht="45" x14ac:dyDescent="0.25">
      <c r="A4" s="9">
        <v>2</v>
      </c>
      <c r="B4" s="19" t="s">
        <v>632</v>
      </c>
      <c r="C4" s="27"/>
      <c r="D4" s="27"/>
      <c r="E4" s="27"/>
    </row>
    <row r="5" spans="1:5" ht="225" x14ac:dyDescent="0.25">
      <c r="A5" s="9">
        <v>3</v>
      </c>
      <c r="B5" s="19" t="s">
        <v>157</v>
      </c>
      <c r="C5" s="27" t="s">
        <v>629</v>
      </c>
      <c r="D5" s="35" t="s">
        <v>631</v>
      </c>
      <c r="E5" s="35" t="s">
        <v>633</v>
      </c>
    </row>
    <row r="6" spans="1:5" ht="225" x14ac:dyDescent="0.25">
      <c r="A6" s="9">
        <v>4</v>
      </c>
      <c r="B6" s="19" t="s">
        <v>411</v>
      </c>
      <c r="C6" s="27" t="s">
        <v>628</v>
      </c>
      <c r="D6" s="35" t="s">
        <v>631</v>
      </c>
      <c r="E6" s="35" t="s">
        <v>634</v>
      </c>
    </row>
    <row r="42" spans="1:31" ht="30" x14ac:dyDescent="0.25">
      <c r="A42" t="s">
        <v>34</v>
      </c>
      <c r="M42" s="19"/>
      <c r="N42" s="19" t="s">
        <v>413</v>
      </c>
      <c r="O42" s="19" t="s">
        <v>414</v>
      </c>
      <c r="P42" s="19" t="s">
        <v>415</v>
      </c>
      <c r="Q42" s="19" t="s">
        <v>416</v>
      </c>
      <c r="R42" s="19" t="s">
        <v>417</v>
      </c>
      <c r="S42" s="19" t="s">
        <v>418</v>
      </c>
      <c r="T42" s="19" t="s">
        <v>419</v>
      </c>
      <c r="U42" s="19" t="s">
        <v>420</v>
      </c>
      <c r="V42" s="19" t="s">
        <v>421</v>
      </c>
      <c r="W42" s="19" t="s">
        <v>296</v>
      </c>
      <c r="X42" s="19" t="s">
        <v>297</v>
      </c>
      <c r="Y42" s="19" t="s">
        <v>317</v>
      </c>
    </row>
    <row r="43" spans="1:31" ht="180" x14ac:dyDescent="0.25">
      <c r="A43" s="19" t="s">
        <v>412</v>
      </c>
      <c r="B43" s="19" t="s">
        <v>413</v>
      </c>
      <c r="C43" s="19" t="s">
        <v>414</v>
      </c>
      <c r="D43" s="19" t="s">
        <v>415</v>
      </c>
      <c r="E43" s="19" t="s">
        <v>416</v>
      </c>
      <c r="F43" s="19" t="s">
        <v>417</v>
      </c>
      <c r="G43" s="19" t="s">
        <v>418</v>
      </c>
      <c r="H43" s="19" t="s">
        <v>419</v>
      </c>
      <c r="I43" s="19" t="s">
        <v>420</v>
      </c>
      <c r="J43" s="19" t="s">
        <v>421</v>
      </c>
      <c r="K43" s="19" t="s">
        <v>422</v>
      </c>
      <c r="M43" s="19" t="s">
        <v>423</v>
      </c>
      <c r="N43" s="19">
        <f t="shared" ref="N43:V43" si="0">AVERAGE(B44:B63)</f>
        <v>1.8921726960999998</v>
      </c>
      <c r="O43" s="19">
        <f t="shared" si="0"/>
        <v>7.8299624645000003E-3</v>
      </c>
      <c r="P43" s="19">
        <f t="shared" si="0"/>
        <v>-74.804245174999977</v>
      </c>
      <c r="Q43" s="19">
        <f t="shared" si="0"/>
        <v>433.05</v>
      </c>
      <c r="R43" s="19">
        <f t="shared" si="0"/>
        <v>123.8</v>
      </c>
      <c r="S43" s="19">
        <f t="shared" si="0"/>
        <v>-63.411294340500014</v>
      </c>
      <c r="T43" s="19">
        <f t="shared" si="0"/>
        <v>-29.325749860499997</v>
      </c>
      <c r="U43" s="19">
        <f t="shared" si="0"/>
        <v>-38.846834023999996</v>
      </c>
      <c r="V43" s="19">
        <f t="shared" si="0"/>
        <v>35.076305121499999</v>
      </c>
      <c r="W43" s="19" t="s">
        <v>635</v>
      </c>
      <c r="X43" s="19" t="s">
        <v>636</v>
      </c>
      <c r="Y43" s="19" t="s">
        <v>650</v>
      </c>
    </row>
    <row r="44" spans="1:31" ht="195" x14ac:dyDescent="0.25">
      <c r="A44" s="19">
        <v>763</v>
      </c>
      <c r="B44" s="19">
        <v>2.521989</v>
      </c>
      <c r="C44" s="19">
        <v>7.9249999999999998E-3</v>
      </c>
      <c r="D44" s="19">
        <v>-78.015699999999995</v>
      </c>
      <c r="E44" s="19">
        <v>334</v>
      </c>
      <c r="F44" s="19">
        <v>59</v>
      </c>
      <c r="G44" s="19">
        <v>-63.227600000000002</v>
      </c>
      <c r="H44" s="19">
        <v>-30.7639</v>
      </c>
      <c r="I44" s="19">
        <v>-38.648400000000002</v>
      </c>
      <c r="J44" s="19">
        <v>34.334609999999998</v>
      </c>
      <c r="K44" s="19">
        <v>-2.4471599999999998</v>
      </c>
      <c r="M44" s="19" t="s">
        <v>424</v>
      </c>
      <c r="N44" s="19">
        <f t="shared" ref="N44:V44" si="1">_xlfn.STDEV.S(B44:B63)</f>
        <v>0.38730310345373314</v>
      </c>
      <c r="O44" s="19">
        <f t="shared" si="1"/>
        <v>1.5143353936362075E-3</v>
      </c>
      <c r="P44" s="19">
        <f t="shared" si="1"/>
        <v>15.925533231871713</v>
      </c>
      <c r="Q44" s="19">
        <f t="shared" si="1"/>
        <v>99.813760785300914</v>
      </c>
      <c r="R44" s="19">
        <f t="shared" si="1"/>
        <v>31.89885330392401</v>
      </c>
      <c r="S44" s="19">
        <f t="shared" si="1"/>
        <v>0.27525455461649512</v>
      </c>
      <c r="T44" s="19">
        <f t="shared" si="1"/>
        <v>2.2488098291477177</v>
      </c>
      <c r="U44" s="19">
        <f t="shared" si="1"/>
        <v>0.38960561354625844</v>
      </c>
      <c r="V44" s="19">
        <f t="shared" si="1"/>
        <v>0.93781752136837959</v>
      </c>
      <c r="W44" s="19" t="s">
        <v>635</v>
      </c>
      <c r="X44" s="19" t="s">
        <v>637</v>
      </c>
      <c r="Y44" s="19" t="s">
        <v>651</v>
      </c>
    </row>
    <row r="45" spans="1:31" x14ac:dyDescent="0.25">
      <c r="A45" s="19">
        <v>230</v>
      </c>
      <c r="B45" s="19">
        <v>1.788942</v>
      </c>
      <c r="C45" s="19">
        <v>6.1190000000000003E-3</v>
      </c>
      <c r="D45" s="19">
        <v>-76.755099999999999</v>
      </c>
      <c r="E45" s="19">
        <v>326</v>
      </c>
      <c r="F45" s="19">
        <v>76</v>
      </c>
      <c r="G45" s="19">
        <v>-63.787199999999999</v>
      </c>
      <c r="H45" s="19">
        <v>-31.324100000000001</v>
      </c>
      <c r="I45" s="19">
        <v>-38.945300000000003</v>
      </c>
      <c r="J45" s="19">
        <v>35.829039999999999</v>
      </c>
      <c r="K45" s="19">
        <v>-2.5127199999999998</v>
      </c>
    </row>
    <row r="46" spans="1:31" x14ac:dyDescent="0.25">
      <c r="A46" s="19">
        <v>654</v>
      </c>
      <c r="B46" s="19">
        <v>2.0266389999999999</v>
      </c>
      <c r="C46" s="19">
        <v>6.2189999999999997E-3</v>
      </c>
      <c r="D46" s="19">
        <v>-89.655000000000001</v>
      </c>
      <c r="E46" s="19">
        <v>442</v>
      </c>
      <c r="F46" s="19">
        <v>125</v>
      </c>
      <c r="G46" s="19">
        <v>-63.138399999999997</v>
      </c>
      <c r="H46" s="19">
        <v>-29.474299999999999</v>
      </c>
      <c r="I46" s="19">
        <v>-38.328099999999999</v>
      </c>
      <c r="J46" s="19">
        <v>33.893479999999997</v>
      </c>
      <c r="K46" s="19">
        <v>-2.5127700000000002</v>
      </c>
    </row>
    <row r="47" spans="1:31" x14ac:dyDescent="0.25">
      <c r="A47" s="19">
        <v>576</v>
      </c>
      <c r="B47" s="19">
        <v>1.8769089999999999</v>
      </c>
      <c r="C47" s="19">
        <v>9.4570000000000001E-3</v>
      </c>
      <c r="D47" s="19">
        <v>-81.2376</v>
      </c>
      <c r="E47" s="19">
        <v>528</v>
      </c>
      <c r="F47" s="19">
        <v>135</v>
      </c>
      <c r="G47" s="19">
        <v>-63.284700000000001</v>
      </c>
      <c r="H47" s="19">
        <v>-29.340299999999999</v>
      </c>
      <c r="I47" s="19">
        <v>-38.440600000000003</v>
      </c>
      <c r="J47" s="19">
        <v>36.57696</v>
      </c>
      <c r="K47" s="19">
        <v>-2.5147300000000001</v>
      </c>
      <c r="N47" s="9"/>
      <c r="O47" s="9"/>
      <c r="P47" s="9"/>
      <c r="Q47" s="9"/>
      <c r="R47" s="9"/>
      <c r="S47" s="9"/>
      <c r="T47" s="9"/>
      <c r="U47" s="9"/>
      <c r="V47" s="9"/>
      <c r="W47" s="9"/>
      <c r="X47" s="9"/>
      <c r="Y47" s="9"/>
      <c r="Z47" s="9"/>
      <c r="AA47" s="9"/>
      <c r="AB47" s="9"/>
      <c r="AC47" s="9"/>
      <c r="AD47" s="9"/>
      <c r="AE47" s="9"/>
    </row>
    <row r="48" spans="1:31" x14ac:dyDescent="0.25">
      <c r="A48" s="19">
        <v>293</v>
      </c>
      <c r="B48" s="19">
        <v>1.681629</v>
      </c>
      <c r="C48" s="19">
        <v>9.3460000000000001E-3</v>
      </c>
      <c r="D48" s="19">
        <v>-74.684299999999993</v>
      </c>
      <c r="E48" s="19">
        <v>587</v>
      </c>
      <c r="F48" s="19">
        <v>164</v>
      </c>
      <c r="G48" s="19">
        <v>-63.415500000000002</v>
      </c>
      <c r="H48" s="19">
        <v>-30.451000000000001</v>
      </c>
      <c r="I48" s="19">
        <v>-38.565899999999999</v>
      </c>
      <c r="J48" s="19">
        <v>34.625500000000002</v>
      </c>
      <c r="K48" s="19">
        <v>-2.5153599999999998</v>
      </c>
    </row>
    <row r="49" spans="1:11" x14ac:dyDescent="0.25">
      <c r="A49" s="19">
        <v>21</v>
      </c>
      <c r="B49" s="19">
        <v>1.9226380000000001</v>
      </c>
      <c r="C49" s="19">
        <v>8.9700000000000005E-3</v>
      </c>
      <c r="D49" s="19">
        <v>-63.998699999999999</v>
      </c>
      <c r="E49" s="19">
        <v>449</v>
      </c>
      <c r="F49" s="19">
        <v>128</v>
      </c>
      <c r="G49" s="19">
        <v>-63.464100000000002</v>
      </c>
      <c r="H49" s="19">
        <v>-30.110399999999998</v>
      </c>
      <c r="I49" s="19">
        <v>-38.831299999999999</v>
      </c>
      <c r="J49" s="19">
        <v>35.777389999999997</v>
      </c>
      <c r="K49" s="19">
        <v>-2.5172599999999998</v>
      </c>
    </row>
    <row r="50" spans="1:11" x14ac:dyDescent="0.25">
      <c r="A50" s="19">
        <v>148</v>
      </c>
      <c r="B50" s="19">
        <v>1.32873</v>
      </c>
      <c r="C50" s="19">
        <v>5.4380000000000001E-3</v>
      </c>
      <c r="D50" s="19">
        <v>-79.455699999999993</v>
      </c>
      <c r="E50" s="19">
        <v>384</v>
      </c>
      <c r="F50" s="19">
        <v>129</v>
      </c>
      <c r="G50" s="19">
        <v>-63.794800000000002</v>
      </c>
      <c r="H50" s="19">
        <v>-26.935600000000001</v>
      </c>
      <c r="I50" s="19">
        <v>-38.923000000000002</v>
      </c>
      <c r="J50" s="19">
        <v>33.562690000000003</v>
      </c>
      <c r="K50" s="19">
        <v>-2.5186899999999999</v>
      </c>
    </row>
    <row r="51" spans="1:11" x14ac:dyDescent="0.25">
      <c r="A51" s="19">
        <v>725</v>
      </c>
      <c r="B51" s="19">
        <v>1.915815</v>
      </c>
      <c r="C51" s="19">
        <v>9.7029999999999998E-3</v>
      </c>
      <c r="D51" s="19">
        <v>-68.915700000000001</v>
      </c>
      <c r="E51" s="19">
        <v>559</v>
      </c>
      <c r="F51" s="19">
        <v>189</v>
      </c>
      <c r="G51" s="19">
        <v>-63.095300000000002</v>
      </c>
      <c r="H51" s="19">
        <v>-27.353000000000002</v>
      </c>
      <c r="I51" s="19">
        <v>-38.625999999999998</v>
      </c>
      <c r="J51" s="19">
        <v>35.306359999999998</v>
      </c>
      <c r="K51" s="19">
        <v>-2.5186899999999999</v>
      </c>
    </row>
    <row r="52" spans="1:11" x14ac:dyDescent="0.25">
      <c r="A52" s="19">
        <v>483</v>
      </c>
      <c r="B52" s="19">
        <v>1.5157529999999999</v>
      </c>
      <c r="C52" s="19">
        <v>7.2880000000000002E-3</v>
      </c>
      <c r="D52" s="19">
        <v>-58.672699999999999</v>
      </c>
      <c r="E52" s="19">
        <v>356</v>
      </c>
      <c r="F52" s="19">
        <v>105</v>
      </c>
      <c r="G52" s="19">
        <v>-63.076099999999997</v>
      </c>
      <c r="H52" s="19">
        <v>-29.701699999999999</v>
      </c>
      <c r="I52" s="19">
        <v>-38.307699999999997</v>
      </c>
      <c r="J52" s="19">
        <v>34.739750000000001</v>
      </c>
      <c r="K52" s="19">
        <v>-2.5189900000000001</v>
      </c>
    </row>
    <row r="53" spans="1:11" x14ac:dyDescent="0.25">
      <c r="A53" s="19">
        <v>612</v>
      </c>
      <c r="B53" s="19">
        <v>1.317002</v>
      </c>
      <c r="C53" s="19">
        <v>9.5469999999999999E-3</v>
      </c>
      <c r="D53" s="19">
        <v>-35.688000000000002</v>
      </c>
      <c r="E53" s="19">
        <v>285</v>
      </c>
      <c r="F53" s="19">
        <v>109</v>
      </c>
      <c r="G53" s="19">
        <v>-63.3718</v>
      </c>
      <c r="H53" s="19">
        <v>-27.479800000000001</v>
      </c>
      <c r="I53" s="19">
        <v>-39.363</v>
      </c>
      <c r="J53" s="19">
        <v>35.438989999999997</v>
      </c>
      <c r="K53" s="19">
        <v>-2.5207700000000002</v>
      </c>
    </row>
    <row r="54" spans="1:11" x14ac:dyDescent="0.25">
      <c r="A54" s="19">
        <v>1</v>
      </c>
      <c r="B54" s="19">
        <v>2.310981</v>
      </c>
      <c r="C54" s="19">
        <v>9.5479999999999992E-3</v>
      </c>
      <c r="D54" s="19">
        <v>-63.7119</v>
      </c>
      <c r="E54" s="19">
        <v>400</v>
      </c>
      <c r="F54" s="19">
        <v>95</v>
      </c>
      <c r="G54" s="19">
        <v>-63.886099999999999</v>
      </c>
      <c r="H54" s="19">
        <v>-32.3003</v>
      </c>
      <c r="I54" s="19">
        <v>-39.732799999999997</v>
      </c>
      <c r="J54" s="19">
        <v>35.604819999999997</v>
      </c>
      <c r="K54" s="19">
        <v>-2.52332</v>
      </c>
    </row>
    <row r="55" spans="1:11" x14ac:dyDescent="0.25">
      <c r="A55" s="19">
        <v>95</v>
      </c>
      <c r="B55" s="19">
        <v>2.762016</v>
      </c>
      <c r="C55" s="19">
        <v>8.5290000000000001E-3</v>
      </c>
      <c r="D55" s="19">
        <v>-95.657499999999999</v>
      </c>
      <c r="E55" s="19">
        <v>537</v>
      </c>
      <c r="F55" s="19">
        <v>109</v>
      </c>
      <c r="G55" s="19">
        <v>-63.352600000000002</v>
      </c>
      <c r="H55" s="19">
        <v>-32.462899999999998</v>
      </c>
      <c r="I55" s="19">
        <v>-38.5124</v>
      </c>
      <c r="J55" s="19">
        <v>35.442050000000002</v>
      </c>
      <c r="K55" s="19">
        <v>-2.5233500000000002</v>
      </c>
    </row>
    <row r="56" spans="1:11" x14ac:dyDescent="0.25">
      <c r="A56" s="19">
        <v>575</v>
      </c>
      <c r="B56" s="19">
        <v>2.2726739999999999</v>
      </c>
      <c r="C56" s="19">
        <v>8.4670000000000006E-3</v>
      </c>
      <c r="D56" s="19">
        <v>-98.253</v>
      </c>
      <c r="E56" s="19">
        <v>589</v>
      </c>
      <c r="F56" s="19">
        <v>148</v>
      </c>
      <c r="G56" s="19">
        <v>-63.628399999999999</v>
      </c>
      <c r="H56" s="19">
        <v>-31.476299999999998</v>
      </c>
      <c r="I56" s="19">
        <v>-39.068899999999999</v>
      </c>
      <c r="J56" s="19">
        <v>34.338659999999997</v>
      </c>
      <c r="K56" s="19">
        <v>-2.5238299999999998</v>
      </c>
    </row>
    <row r="57" spans="1:11" x14ac:dyDescent="0.25">
      <c r="A57" s="19">
        <v>168</v>
      </c>
      <c r="B57" s="19">
        <v>2.0519539999999998</v>
      </c>
      <c r="C57" s="19">
        <v>7.7190000000000002E-3</v>
      </c>
      <c r="D57" s="19">
        <v>-87.086200000000005</v>
      </c>
      <c r="E57" s="19">
        <v>488</v>
      </c>
      <c r="F57" s="19">
        <v>122</v>
      </c>
      <c r="G57" s="19">
        <v>-63.477600000000002</v>
      </c>
      <c r="H57" s="19">
        <v>-31.291899999999998</v>
      </c>
      <c r="I57" s="19">
        <v>-38.8613</v>
      </c>
      <c r="J57" s="19">
        <v>35.74127</v>
      </c>
      <c r="K57" s="19">
        <v>-2.5239099999999999</v>
      </c>
    </row>
    <row r="58" spans="1:11" x14ac:dyDescent="0.25">
      <c r="A58" s="19">
        <v>114</v>
      </c>
      <c r="B58" s="19">
        <v>1.4956469999999999</v>
      </c>
      <c r="C58" s="19">
        <v>8.7150000000000005E-3</v>
      </c>
      <c r="D58" s="19">
        <v>-47.356200000000001</v>
      </c>
      <c r="E58" s="19">
        <v>331</v>
      </c>
      <c r="F58" s="19">
        <v>106</v>
      </c>
      <c r="G58" s="19">
        <v>-63.101500000000001</v>
      </c>
      <c r="H58" s="19">
        <v>-27.561299999999999</v>
      </c>
      <c r="I58" s="19">
        <v>-38.323399999999999</v>
      </c>
      <c r="J58" s="19">
        <v>36.58249</v>
      </c>
      <c r="K58" s="19">
        <v>-2.5242599999999999</v>
      </c>
    </row>
    <row r="59" spans="1:11" x14ac:dyDescent="0.25">
      <c r="A59" s="19">
        <v>15</v>
      </c>
      <c r="B59" s="19">
        <v>1.698674</v>
      </c>
      <c r="C59" s="19">
        <v>7.0219999999999996E-3</v>
      </c>
      <c r="D59" s="19">
        <v>-85.557100000000005</v>
      </c>
      <c r="E59" s="19">
        <v>531</v>
      </c>
      <c r="F59" s="19">
        <v>162</v>
      </c>
      <c r="G59" s="19">
        <v>-63.888399999999997</v>
      </c>
      <c r="H59" s="19">
        <v>-30.0732</v>
      </c>
      <c r="I59" s="19">
        <v>-39.414999999999999</v>
      </c>
      <c r="J59" s="19">
        <v>35.808239999999998</v>
      </c>
      <c r="K59" s="19">
        <v>-2.5245199999999999</v>
      </c>
    </row>
    <row r="60" spans="1:11" x14ac:dyDescent="0.25">
      <c r="A60" s="19">
        <v>827</v>
      </c>
      <c r="B60" s="19">
        <v>1.6314599999999999</v>
      </c>
      <c r="C60" s="19">
        <v>8.3180000000000007E-3</v>
      </c>
      <c r="D60" s="19">
        <v>-64.129099999999994</v>
      </c>
      <c r="E60" s="19">
        <v>357</v>
      </c>
      <c r="F60" s="19">
        <v>92</v>
      </c>
      <c r="G60" s="19">
        <v>-63.599699999999999</v>
      </c>
      <c r="H60" s="19">
        <v>-30.671900000000001</v>
      </c>
      <c r="I60" s="19">
        <v>-39.177599999999998</v>
      </c>
      <c r="J60" s="19">
        <v>33.669789999999999</v>
      </c>
      <c r="K60" s="19">
        <v>-2.52542</v>
      </c>
    </row>
    <row r="61" spans="1:11" x14ac:dyDescent="0.25">
      <c r="A61" s="19">
        <v>261</v>
      </c>
      <c r="B61" s="19">
        <v>2.2565219999999999</v>
      </c>
      <c r="C61" s="19">
        <v>6.7949999999999998E-3</v>
      </c>
      <c r="D61" s="19">
        <v>-92.834599999999995</v>
      </c>
      <c r="E61" s="19">
        <v>459</v>
      </c>
      <c r="F61" s="19">
        <v>142</v>
      </c>
      <c r="G61" s="19">
        <v>-63.334299999999999</v>
      </c>
      <c r="H61" s="19">
        <v>-27.9131</v>
      </c>
      <c r="I61" s="19">
        <v>-38.901800000000001</v>
      </c>
      <c r="J61" s="19">
        <v>34.057130000000001</v>
      </c>
      <c r="K61" s="19">
        <v>-2.5254400000000001</v>
      </c>
    </row>
    <row r="62" spans="1:11" x14ac:dyDescent="0.25">
      <c r="A62" s="19">
        <v>728</v>
      </c>
      <c r="B62" s="19">
        <v>1.8763890000000001</v>
      </c>
      <c r="C62" s="19">
        <v>7.1440000000000002E-3</v>
      </c>
      <c r="D62" s="19">
        <v>-76.453699999999998</v>
      </c>
      <c r="E62" s="19">
        <v>438</v>
      </c>
      <c r="F62" s="19">
        <v>162</v>
      </c>
      <c r="G62" s="19">
        <v>-63.029899999999998</v>
      </c>
      <c r="H62" s="19">
        <v>-25.750800000000002</v>
      </c>
      <c r="I62" s="19">
        <v>-38.8874</v>
      </c>
      <c r="J62" s="19">
        <v>35.946249999999999</v>
      </c>
      <c r="K62" s="19">
        <v>-2.5256599999999998</v>
      </c>
    </row>
    <row r="63" spans="1:11" x14ac:dyDescent="0.25">
      <c r="A63" s="19">
        <v>600</v>
      </c>
      <c r="B63" s="19">
        <v>1.591090922</v>
      </c>
      <c r="C63" s="19">
        <v>4.3302492900000001E-3</v>
      </c>
      <c r="D63" s="19">
        <v>-77.967103499999993</v>
      </c>
      <c r="E63" s="19">
        <v>281</v>
      </c>
      <c r="F63" s="19">
        <v>119</v>
      </c>
      <c r="G63" s="19">
        <v>-63.271886809999998</v>
      </c>
      <c r="H63" s="19">
        <v>-24.07919721</v>
      </c>
      <c r="I63" s="19">
        <v>-39.076780479999996</v>
      </c>
      <c r="J63" s="19">
        <v>34.250632430000003</v>
      </c>
      <c r="K63" s="19">
        <v>-2.5257737640000002</v>
      </c>
    </row>
    <row r="68" spans="1:25" ht="30" x14ac:dyDescent="0.25">
      <c r="A68" t="s">
        <v>55</v>
      </c>
      <c r="M68" s="19"/>
      <c r="N68" s="19" t="s">
        <v>413</v>
      </c>
      <c r="O68" s="19" t="s">
        <v>414</v>
      </c>
      <c r="P68" s="19" t="s">
        <v>415</v>
      </c>
      <c r="Q68" s="19" t="s">
        <v>416</v>
      </c>
      <c r="R68" s="19" t="s">
        <v>417</v>
      </c>
      <c r="S68" s="19" t="s">
        <v>418</v>
      </c>
      <c r="T68" s="19" t="s">
        <v>419</v>
      </c>
      <c r="U68" s="19" t="s">
        <v>420</v>
      </c>
      <c r="V68" s="19" t="s">
        <v>421</v>
      </c>
      <c r="W68" s="19" t="s">
        <v>296</v>
      </c>
      <c r="X68" s="19" t="s">
        <v>297</v>
      </c>
      <c r="Y68" s="19" t="s">
        <v>317</v>
      </c>
    </row>
    <row r="69" spans="1:25" ht="180" x14ac:dyDescent="0.25">
      <c r="A69" s="19" t="s">
        <v>412</v>
      </c>
      <c r="B69" s="19" t="s">
        <v>413</v>
      </c>
      <c r="C69" s="19" t="s">
        <v>414</v>
      </c>
      <c r="D69" s="19" t="s">
        <v>415</v>
      </c>
      <c r="E69" s="19" t="s">
        <v>416</v>
      </c>
      <c r="F69" s="19" t="s">
        <v>417</v>
      </c>
      <c r="G69" s="19" t="s">
        <v>418</v>
      </c>
      <c r="H69" s="19" t="s">
        <v>419</v>
      </c>
      <c r="I69" s="19" t="s">
        <v>420</v>
      </c>
      <c r="J69" s="19" t="s">
        <v>421</v>
      </c>
      <c r="K69" s="19" t="s">
        <v>422</v>
      </c>
      <c r="M69" s="19" t="s">
        <v>423</v>
      </c>
      <c r="N69" s="19">
        <f t="shared" ref="N69:V69" si="2">AVERAGE(B70:B89)</f>
        <v>1.1298225499999999</v>
      </c>
      <c r="O69" s="19">
        <f t="shared" si="2"/>
        <v>8.8135000000000015E-4</v>
      </c>
      <c r="P69" s="19">
        <f t="shared" si="2"/>
        <v>-66.138885000000002</v>
      </c>
      <c r="Q69" s="19">
        <f t="shared" si="2"/>
        <v>42.95</v>
      </c>
      <c r="R69" s="19">
        <f t="shared" si="2"/>
        <v>58.6</v>
      </c>
      <c r="S69" s="19">
        <f t="shared" si="2"/>
        <v>-67.480390000000014</v>
      </c>
      <c r="T69" s="19">
        <f t="shared" si="2"/>
        <v>-24.360429999999997</v>
      </c>
      <c r="U69" s="19">
        <f t="shared" si="2"/>
        <v>-42.289659999999998</v>
      </c>
      <c r="V69" s="19">
        <f t="shared" si="2"/>
        <v>11.278071000000001</v>
      </c>
      <c r="W69" s="19" t="s">
        <v>638</v>
      </c>
      <c r="X69" s="19" t="s">
        <v>636</v>
      </c>
      <c r="Y69" s="19" t="s">
        <v>648</v>
      </c>
    </row>
    <row r="70" spans="1:25" ht="195" x14ac:dyDescent="0.25">
      <c r="A70" s="19">
        <v>51</v>
      </c>
      <c r="B70" s="19">
        <v>1.0906039999999999</v>
      </c>
      <c r="C70" s="77">
        <v>9.1799999999999998E-4</v>
      </c>
      <c r="D70" s="19">
        <v>-61.718299999999999</v>
      </c>
      <c r="E70" s="19">
        <v>40</v>
      </c>
      <c r="F70" s="19">
        <v>52</v>
      </c>
      <c r="G70" s="19">
        <v>-67.196399999999997</v>
      </c>
      <c r="H70" s="19">
        <v>-23.3584</v>
      </c>
      <c r="I70" s="19">
        <v>-41.852400000000003</v>
      </c>
      <c r="J70" s="19">
        <v>10.94206</v>
      </c>
      <c r="K70" s="19">
        <v>-2.5307599999999999</v>
      </c>
      <c r="M70" s="19" t="s">
        <v>424</v>
      </c>
      <c r="N70" s="19">
        <f t="shared" ref="N70:V70" si="3">_xlfn.STDEV.S(B70:B89)</f>
        <v>4.5410284612368561E-2</v>
      </c>
      <c r="O70" s="19">
        <f t="shared" si="3"/>
        <v>1.1303854722126758E-4</v>
      </c>
      <c r="P70" s="19">
        <f t="shared" si="3"/>
        <v>4.7977808624925764</v>
      </c>
      <c r="Q70" s="19">
        <f t="shared" si="3"/>
        <v>6.2363535229457394</v>
      </c>
      <c r="R70" s="19">
        <f t="shared" si="3"/>
        <v>5.1134497573607423</v>
      </c>
      <c r="S70" s="19">
        <f t="shared" si="3"/>
        <v>0.26293645800338927</v>
      </c>
      <c r="T70" s="19">
        <f t="shared" si="3"/>
        <v>0.73742023732811457</v>
      </c>
      <c r="U70" s="19">
        <f t="shared" si="3"/>
        <v>0.54387125353437449</v>
      </c>
      <c r="V70" s="19">
        <f t="shared" si="3"/>
        <v>0.47307496799800763</v>
      </c>
      <c r="W70" s="19" t="s">
        <v>638</v>
      </c>
      <c r="X70" s="19" t="s">
        <v>637</v>
      </c>
      <c r="Y70" s="19" t="s">
        <v>649</v>
      </c>
    </row>
    <row r="71" spans="1:25" x14ac:dyDescent="0.25">
      <c r="A71" s="19">
        <v>18</v>
      </c>
      <c r="B71" s="19">
        <v>1.133435</v>
      </c>
      <c r="C71" s="77">
        <v>8.1099999999999998E-4</v>
      </c>
      <c r="D71" s="19">
        <v>-69.018900000000002</v>
      </c>
      <c r="E71" s="19">
        <v>39</v>
      </c>
      <c r="F71" s="19">
        <v>51</v>
      </c>
      <c r="G71" s="19">
        <v>-67.7072</v>
      </c>
      <c r="H71" s="19">
        <v>-24.3246</v>
      </c>
      <c r="I71" s="19">
        <v>-42.69</v>
      </c>
      <c r="J71" s="19">
        <v>11.746880000000001</v>
      </c>
      <c r="K71" s="19">
        <v>-2.5453199999999998</v>
      </c>
    </row>
    <row r="72" spans="1:25" x14ac:dyDescent="0.25">
      <c r="A72" s="19">
        <v>91</v>
      </c>
      <c r="B72" s="19">
        <v>1.158749</v>
      </c>
      <c r="C72" s="77">
        <v>9.3999999999999997E-4</v>
      </c>
      <c r="D72" s="19">
        <v>-68.135499999999993</v>
      </c>
      <c r="E72" s="19">
        <v>48</v>
      </c>
      <c r="F72" s="19">
        <v>63</v>
      </c>
      <c r="G72" s="19">
        <v>-67.329800000000006</v>
      </c>
      <c r="H72" s="19">
        <v>-24.407800000000002</v>
      </c>
      <c r="I72" s="19">
        <v>-42.250999999999998</v>
      </c>
      <c r="J72" s="19">
        <v>11.56194</v>
      </c>
      <c r="K72" s="19">
        <v>-2.54616</v>
      </c>
    </row>
    <row r="73" spans="1:25" x14ac:dyDescent="0.25">
      <c r="A73" s="19">
        <v>161</v>
      </c>
      <c r="B73" s="19">
        <v>1.115942</v>
      </c>
      <c r="C73" s="77">
        <v>9.9099999999999991E-4</v>
      </c>
      <c r="D73" s="19">
        <v>-65.273799999999994</v>
      </c>
      <c r="E73" s="19">
        <v>45</v>
      </c>
      <c r="F73" s="19">
        <v>56</v>
      </c>
      <c r="G73" s="19">
        <v>-67.265699999999995</v>
      </c>
      <c r="H73" s="19">
        <v>-24.098800000000001</v>
      </c>
      <c r="I73" s="19">
        <v>-42.0627</v>
      </c>
      <c r="J73" s="19">
        <v>11.832050000000001</v>
      </c>
      <c r="K73" s="19">
        <v>-2.5482300000000002</v>
      </c>
    </row>
    <row r="74" spans="1:25" x14ac:dyDescent="0.25">
      <c r="A74" s="19">
        <v>107</v>
      </c>
      <c r="B74" s="19">
        <v>1.2607660000000001</v>
      </c>
      <c r="C74" s="77">
        <v>9.8200000000000002E-4</v>
      </c>
      <c r="D74" s="19">
        <v>-67.515900000000002</v>
      </c>
      <c r="E74" s="19">
        <v>44</v>
      </c>
      <c r="F74" s="19">
        <v>57</v>
      </c>
      <c r="G74" s="19">
        <v>-67.250399999999999</v>
      </c>
      <c r="H74" s="19">
        <v>-25.849399999999999</v>
      </c>
      <c r="I74" s="19">
        <v>-43.226399999999998</v>
      </c>
      <c r="J74" s="19">
        <v>11.36476</v>
      </c>
      <c r="K74" s="19">
        <v>-2.5491799999999998</v>
      </c>
    </row>
    <row r="75" spans="1:25" x14ac:dyDescent="0.25">
      <c r="A75" s="19">
        <v>15</v>
      </c>
      <c r="B75" s="19">
        <v>1.1031770000000001</v>
      </c>
      <c r="C75" s="77">
        <v>9.1500000000000001E-4</v>
      </c>
      <c r="D75" s="19">
        <v>-51.730699999999999</v>
      </c>
      <c r="E75" s="19">
        <v>35</v>
      </c>
      <c r="F75" s="19">
        <v>51</v>
      </c>
      <c r="G75" s="19">
        <v>-67.212500000000006</v>
      </c>
      <c r="H75" s="19">
        <v>-23.3308</v>
      </c>
      <c r="I75" s="19">
        <v>-42.112000000000002</v>
      </c>
      <c r="J75" s="19">
        <v>12.245089999999999</v>
      </c>
      <c r="K75" s="19">
        <v>-2.5494500000000002</v>
      </c>
    </row>
    <row r="76" spans="1:25" x14ac:dyDescent="0.25">
      <c r="A76" s="19">
        <v>40</v>
      </c>
      <c r="B76" s="19">
        <v>1.1439440000000001</v>
      </c>
      <c r="C76" s="77">
        <v>6.8499999999999995E-4</v>
      </c>
      <c r="D76" s="19">
        <v>-60.970700000000001</v>
      </c>
      <c r="E76" s="19">
        <v>33</v>
      </c>
      <c r="F76" s="19">
        <v>67</v>
      </c>
      <c r="G76" s="19">
        <v>-67.83</v>
      </c>
      <c r="H76" s="19">
        <v>-25.021100000000001</v>
      </c>
      <c r="I76" s="19">
        <v>-41.874000000000002</v>
      </c>
      <c r="J76" s="19">
        <v>10.675090000000001</v>
      </c>
      <c r="K76" s="19">
        <v>-2.5496400000000001</v>
      </c>
    </row>
    <row r="77" spans="1:25" x14ac:dyDescent="0.25">
      <c r="A77" s="19">
        <v>2</v>
      </c>
      <c r="B77" s="19">
        <v>1.136009</v>
      </c>
      <c r="C77" s="77">
        <v>9.8700000000000003E-4</v>
      </c>
      <c r="D77" s="19">
        <v>-66.429199999999994</v>
      </c>
      <c r="E77" s="19">
        <v>49</v>
      </c>
      <c r="F77" s="19">
        <v>63</v>
      </c>
      <c r="G77" s="19">
        <v>-67.492199999999997</v>
      </c>
      <c r="H77" s="19">
        <v>-24.613</v>
      </c>
      <c r="I77" s="19">
        <v>-42.342199999999998</v>
      </c>
      <c r="J77" s="19">
        <v>10.626569999999999</v>
      </c>
      <c r="K77" s="19">
        <v>-2.5497399999999999</v>
      </c>
    </row>
    <row r="78" spans="1:25" x14ac:dyDescent="0.25">
      <c r="A78" s="19">
        <v>74</v>
      </c>
      <c r="B78" s="19">
        <v>1.2103170000000001</v>
      </c>
      <c r="C78" s="77">
        <v>9.3300000000000002E-4</v>
      </c>
      <c r="D78" s="19">
        <v>-69.835800000000006</v>
      </c>
      <c r="E78" s="19">
        <v>47</v>
      </c>
      <c r="F78" s="19">
        <v>63</v>
      </c>
      <c r="G78" s="19">
        <v>-67.191400000000002</v>
      </c>
      <c r="H78" s="19">
        <v>-25.7818</v>
      </c>
      <c r="I78" s="19">
        <v>-42.986800000000002</v>
      </c>
      <c r="J78" s="19">
        <v>10.916</v>
      </c>
      <c r="K78" s="19">
        <v>-2.5497399999999999</v>
      </c>
    </row>
    <row r="79" spans="1:25" x14ac:dyDescent="0.25">
      <c r="A79" s="19">
        <v>83</v>
      </c>
      <c r="B79" s="19">
        <v>1.1069279999999999</v>
      </c>
      <c r="C79" s="77">
        <v>8.9300000000000002E-4</v>
      </c>
      <c r="D79" s="19">
        <v>-72.133399999999995</v>
      </c>
      <c r="E79" s="19">
        <v>49</v>
      </c>
      <c r="F79" s="19">
        <v>62</v>
      </c>
      <c r="G79" s="19">
        <v>-67.337199999999996</v>
      </c>
      <c r="H79" s="19">
        <v>-23.592099999999999</v>
      </c>
      <c r="I79" s="19">
        <v>-41.719000000000001</v>
      </c>
      <c r="J79" s="19">
        <v>11.312139999999999</v>
      </c>
      <c r="K79" s="19">
        <v>-2.5497399999999999</v>
      </c>
    </row>
    <row r="80" spans="1:25" x14ac:dyDescent="0.25">
      <c r="A80" s="19">
        <v>87</v>
      </c>
      <c r="B80" s="19">
        <v>1.097202</v>
      </c>
      <c r="C80" s="77">
        <v>8.6700000000000004E-4</v>
      </c>
      <c r="D80" s="19">
        <v>-63.234499999999997</v>
      </c>
      <c r="E80" s="19">
        <v>41</v>
      </c>
      <c r="F80" s="19">
        <v>56</v>
      </c>
      <c r="G80" s="19">
        <v>-67.647300000000001</v>
      </c>
      <c r="H80" s="19">
        <v>-23.999400000000001</v>
      </c>
      <c r="I80" s="19">
        <v>-42.379300000000001</v>
      </c>
      <c r="J80" s="19">
        <v>10.875439999999999</v>
      </c>
      <c r="K80" s="19">
        <v>-2.5497399999999999</v>
      </c>
    </row>
    <row r="81" spans="1:25" x14ac:dyDescent="0.25">
      <c r="A81" s="19">
        <v>88</v>
      </c>
      <c r="B81" s="19">
        <v>1.0776190000000001</v>
      </c>
      <c r="C81" s="77">
        <v>8.6399999999999997E-4</v>
      </c>
      <c r="D81" s="19">
        <v>-68.699600000000004</v>
      </c>
      <c r="E81" s="19">
        <v>45</v>
      </c>
      <c r="F81" s="19">
        <v>58</v>
      </c>
      <c r="G81" s="19">
        <v>-67.508899999999997</v>
      </c>
      <c r="H81" s="19">
        <v>-23.598099999999999</v>
      </c>
      <c r="I81" s="19">
        <v>-41.913600000000002</v>
      </c>
      <c r="J81" s="19">
        <v>11.763210000000001</v>
      </c>
      <c r="K81" s="19">
        <v>-2.5497399999999999</v>
      </c>
    </row>
    <row r="82" spans="1:25" x14ac:dyDescent="0.25">
      <c r="A82" s="19">
        <v>117</v>
      </c>
      <c r="B82" s="19">
        <v>1.111021</v>
      </c>
      <c r="C82" s="77">
        <v>8.4900000000000004E-4</v>
      </c>
      <c r="D82" s="19">
        <v>-60.316400000000002</v>
      </c>
      <c r="E82" s="19">
        <v>38</v>
      </c>
      <c r="F82" s="19">
        <v>54</v>
      </c>
      <c r="G82" s="19">
        <v>-67.646600000000007</v>
      </c>
      <c r="H82" s="19">
        <v>-24.014800000000001</v>
      </c>
      <c r="I82" s="19">
        <v>-42.545200000000001</v>
      </c>
      <c r="J82" s="19">
        <v>10.985060000000001</v>
      </c>
      <c r="K82" s="19">
        <v>-2.5497399999999999</v>
      </c>
    </row>
    <row r="83" spans="1:25" x14ac:dyDescent="0.25">
      <c r="A83" s="19">
        <v>158</v>
      </c>
      <c r="B83" s="19">
        <v>1.084789</v>
      </c>
      <c r="C83" s="77">
        <v>9.5799999999999998E-4</v>
      </c>
      <c r="D83" s="19">
        <v>-64.778899999999993</v>
      </c>
      <c r="E83" s="19">
        <v>47</v>
      </c>
      <c r="F83" s="19">
        <v>60</v>
      </c>
      <c r="G83" s="19">
        <v>-67.797300000000007</v>
      </c>
      <c r="H83" s="19">
        <v>-24.135000000000002</v>
      </c>
      <c r="I83" s="19">
        <v>-42.2545</v>
      </c>
      <c r="J83" s="19">
        <v>10.91154</v>
      </c>
      <c r="K83" s="19">
        <v>-2.5497399999999999</v>
      </c>
    </row>
    <row r="84" spans="1:25" x14ac:dyDescent="0.25">
      <c r="A84" s="19">
        <v>41</v>
      </c>
      <c r="B84" s="19">
        <v>1.153443</v>
      </c>
      <c r="C84" s="77">
        <v>6.8099999999999996E-4</v>
      </c>
      <c r="D84" s="19">
        <v>-70.895600000000002</v>
      </c>
      <c r="E84" s="19">
        <v>35</v>
      </c>
      <c r="F84" s="19">
        <v>53</v>
      </c>
      <c r="G84" s="19">
        <v>-67.565299999999993</v>
      </c>
      <c r="H84" s="19">
        <v>-24.8552</v>
      </c>
      <c r="I84" s="19">
        <v>-43.1342</v>
      </c>
      <c r="J84" s="19">
        <v>11.965960000000001</v>
      </c>
      <c r="K84" s="19">
        <v>-2.5514899999999998</v>
      </c>
    </row>
    <row r="85" spans="1:25" x14ac:dyDescent="0.25">
      <c r="A85" s="19">
        <v>134</v>
      </c>
      <c r="B85" s="19">
        <v>1.1560710000000001</v>
      </c>
      <c r="C85" s="77">
        <v>9.9400000000000009E-4</v>
      </c>
      <c r="D85" s="19">
        <v>-70.021500000000003</v>
      </c>
      <c r="E85" s="19">
        <v>52</v>
      </c>
      <c r="F85" s="19">
        <v>65</v>
      </c>
      <c r="G85" s="19">
        <v>-67.951899999999995</v>
      </c>
      <c r="H85" s="19">
        <v>-25.191199999999998</v>
      </c>
      <c r="I85" s="19">
        <v>-42.780299999999997</v>
      </c>
      <c r="J85" s="19">
        <v>10.95486</v>
      </c>
      <c r="K85" s="19">
        <v>-2.5514899999999998</v>
      </c>
    </row>
    <row r="86" spans="1:25" x14ac:dyDescent="0.25">
      <c r="A86" s="19">
        <v>147</v>
      </c>
      <c r="B86" s="19">
        <v>1.0969990000000001</v>
      </c>
      <c r="C86" s="77">
        <v>9.7900000000000005E-4</v>
      </c>
      <c r="D86" s="19">
        <v>-66.597200000000001</v>
      </c>
      <c r="E86" s="19">
        <v>50</v>
      </c>
      <c r="F86" s="19">
        <v>63</v>
      </c>
      <c r="G86" s="19">
        <v>-67.051100000000005</v>
      </c>
      <c r="H86" s="19">
        <v>-23.429099999999998</v>
      </c>
      <c r="I86" s="19">
        <v>-41.128399999999999</v>
      </c>
      <c r="J86" s="19">
        <v>11.729329999999999</v>
      </c>
      <c r="K86" s="19">
        <v>-2.5525500000000001</v>
      </c>
    </row>
    <row r="87" spans="1:25" x14ac:dyDescent="0.25">
      <c r="A87" s="19">
        <v>156</v>
      </c>
      <c r="B87" s="19">
        <v>1.156453</v>
      </c>
      <c r="C87" s="77">
        <v>9.9700000000000006E-4</v>
      </c>
      <c r="D87" s="19">
        <v>-68.695700000000002</v>
      </c>
      <c r="E87" s="19">
        <v>51</v>
      </c>
      <c r="F87" s="19">
        <v>64</v>
      </c>
      <c r="G87" s="19">
        <v>-67.375600000000006</v>
      </c>
      <c r="H87" s="19">
        <v>-24.5564</v>
      </c>
      <c r="I87" s="19">
        <v>-42.2241</v>
      </c>
      <c r="J87" s="19">
        <v>11.319559999999999</v>
      </c>
      <c r="K87" s="19">
        <v>-2.5531600000000001</v>
      </c>
    </row>
    <row r="88" spans="1:25" x14ac:dyDescent="0.25">
      <c r="A88" s="19">
        <v>95</v>
      </c>
      <c r="B88" s="19">
        <v>1.0828869999999999</v>
      </c>
      <c r="C88" s="77">
        <v>7.2300000000000001E-4</v>
      </c>
      <c r="D88" s="19">
        <v>-70.994500000000002</v>
      </c>
      <c r="E88" s="19">
        <v>38</v>
      </c>
      <c r="F88" s="19">
        <v>53</v>
      </c>
      <c r="G88" s="19">
        <v>-67.888199999999998</v>
      </c>
      <c r="H88" s="19">
        <v>-24.312899999999999</v>
      </c>
      <c r="I88" s="19">
        <v>-42.7759</v>
      </c>
      <c r="J88" s="19">
        <v>10.85535</v>
      </c>
      <c r="K88" s="19">
        <v>-2.5570900000000001</v>
      </c>
    </row>
    <row r="89" spans="1:25" x14ac:dyDescent="0.25">
      <c r="A89" s="19">
        <v>129</v>
      </c>
      <c r="B89" s="19">
        <v>1.120096</v>
      </c>
      <c r="C89" s="77">
        <v>6.6E-4</v>
      </c>
      <c r="D89" s="19">
        <v>-65.781599999999997</v>
      </c>
      <c r="E89" s="19">
        <v>33</v>
      </c>
      <c r="F89" s="19">
        <v>61</v>
      </c>
      <c r="G89" s="19">
        <v>-67.362799999999993</v>
      </c>
      <c r="H89" s="19">
        <v>-24.738700000000001</v>
      </c>
      <c r="I89" s="19">
        <v>-41.541200000000003</v>
      </c>
      <c r="J89" s="19">
        <v>10.978529999999999</v>
      </c>
      <c r="K89" s="19">
        <v>-2.5572400000000002</v>
      </c>
    </row>
    <row r="90" spans="1:25" x14ac:dyDescent="0.25">
      <c r="C90" s="33"/>
    </row>
    <row r="91" spans="1:25" x14ac:dyDescent="0.25">
      <c r="C91" s="33"/>
    </row>
    <row r="95" spans="1:25" ht="30" x14ac:dyDescent="0.25">
      <c r="A95" t="s">
        <v>39</v>
      </c>
      <c r="M95" s="19"/>
      <c r="N95" s="19" t="s">
        <v>413</v>
      </c>
      <c r="O95" s="19" t="s">
        <v>414</v>
      </c>
      <c r="P95" s="19" t="s">
        <v>415</v>
      </c>
      <c r="Q95" s="19" t="s">
        <v>416</v>
      </c>
      <c r="R95" s="19" t="s">
        <v>417</v>
      </c>
      <c r="S95" s="19" t="s">
        <v>418</v>
      </c>
      <c r="T95" s="19" t="s">
        <v>419</v>
      </c>
      <c r="U95" s="19" t="s">
        <v>420</v>
      </c>
      <c r="V95" s="19" t="s">
        <v>421</v>
      </c>
      <c r="W95" s="19" t="s">
        <v>296</v>
      </c>
      <c r="X95" s="19" t="s">
        <v>297</v>
      </c>
      <c r="Y95" s="19" t="s">
        <v>317</v>
      </c>
    </row>
    <row r="96" spans="1:25" ht="180" x14ac:dyDescent="0.25">
      <c r="A96" s="19" t="s">
        <v>412</v>
      </c>
      <c r="B96" s="19" t="s">
        <v>413</v>
      </c>
      <c r="C96" s="19" t="s">
        <v>414</v>
      </c>
      <c r="D96" s="19" t="s">
        <v>415</v>
      </c>
      <c r="E96" s="19" t="s">
        <v>416</v>
      </c>
      <c r="F96" s="19" t="s">
        <v>417</v>
      </c>
      <c r="G96" s="19" t="s">
        <v>418</v>
      </c>
      <c r="H96" s="19" t="s">
        <v>419</v>
      </c>
      <c r="I96" s="19" t="s">
        <v>420</v>
      </c>
      <c r="J96" s="19" t="s">
        <v>421</v>
      </c>
      <c r="K96" s="19" t="s">
        <v>422</v>
      </c>
      <c r="M96" s="19" t="s">
        <v>423</v>
      </c>
      <c r="N96" s="19">
        <f t="shared" ref="N96:V96" si="4">AVERAGE(B97:B116)</f>
        <v>6.2626449500000003</v>
      </c>
      <c r="O96" s="19">
        <f t="shared" si="4"/>
        <v>4.1323499999999999E-3</v>
      </c>
      <c r="P96" s="19">
        <f t="shared" si="4"/>
        <v>1.4408030000000001</v>
      </c>
      <c r="Q96" s="19">
        <f t="shared" si="4"/>
        <v>16.05</v>
      </c>
      <c r="R96" s="19">
        <f t="shared" si="4"/>
        <v>184.45</v>
      </c>
      <c r="S96" s="19">
        <f t="shared" si="4"/>
        <v>-57.92307000000001</v>
      </c>
      <c r="T96" s="19">
        <f t="shared" si="4"/>
        <v>-51.162405</v>
      </c>
      <c r="U96" s="19">
        <f t="shared" si="4"/>
        <v>-76.274924999999996</v>
      </c>
      <c r="V96" s="19">
        <f t="shared" si="4"/>
        <v>25.029353999999998</v>
      </c>
      <c r="W96" s="19" t="s">
        <v>639</v>
      </c>
      <c r="X96" s="19" t="s">
        <v>636</v>
      </c>
      <c r="Y96" s="19" t="s">
        <v>646</v>
      </c>
    </row>
    <row r="97" spans="1:25" ht="195" x14ac:dyDescent="0.25">
      <c r="A97" s="19">
        <v>5</v>
      </c>
      <c r="B97" s="19">
        <v>1.012432</v>
      </c>
      <c r="C97" s="19">
        <v>2.4589999999999998E-3</v>
      </c>
      <c r="D97" s="19">
        <v>-2.7745899999999999</v>
      </c>
      <c r="E97" s="19">
        <v>23</v>
      </c>
      <c r="F97" s="19">
        <v>84</v>
      </c>
      <c r="G97" s="19">
        <v>-57.330399999999997</v>
      </c>
      <c r="H97" s="19">
        <v>-47.535600000000002</v>
      </c>
      <c r="I97" s="19">
        <v>-76.361099999999993</v>
      </c>
      <c r="J97" s="19">
        <v>26.84046</v>
      </c>
      <c r="K97" s="19">
        <v>-0.21623000000000001</v>
      </c>
      <c r="M97" s="19" t="s">
        <v>424</v>
      </c>
      <c r="N97" s="19">
        <f t="shared" ref="N97:V97" si="5">_xlfn.STDEV.S(B97:B116)</f>
        <v>3.4667825789202862</v>
      </c>
      <c r="O97" s="19">
        <f t="shared" si="5"/>
        <v>7.1541031840770253E-4</v>
      </c>
      <c r="P97" s="19">
        <f t="shared" si="5"/>
        <v>14.266517175195402</v>
      </c>
      <c r="Q97" s="19">
        <f t="shared" si="5"/>
        <v>5.8980371400376201</v>
      </c>
      <c r="R97" s="19">
        <f t="shared" si="5"/>
        <v>51.779364920583419</v>
      </c>
      <c r="S97" s="19">
        <f t="shared" si="5"/>
        <v>0.61860246319723378</v>
      </c>
      <c r="T97" s="19">
        <f t="shared" si="5"/>
        <v>1.688151100581561</v>
      </c>
      <c r="U97" s="19">
        <f t="shared" si="5"/>
        <v>1.0792279759526937</v>
      </c>
      <c r="V97" s="19">
        <f t="shared" si="5"/>
        <v>2.0295458986923522</v>
      </c>
      <c r="W97" s="19" t="s">
        <v>639</v>
      </c>
      <c r="X97" s="19" t="s">
        <v>637</v>
      </c>
      <c r="Y97" s="19" t="s">
        <v>647</v>
      </c>
    </row>
    <row r="98" spans="1:25" x14ac:dyDescent="0.25">
      <c r="A98" s="19">
        <v>92</v>
      </c>
      <c r="B98" s="19">
        <v>11.34723</v>
      </c>
      <c r="C98" s="19">
        <v>4.4520000000000002E-3</v>
      </c>
      <c r="D98" s="19">
        <v>-5.4355000000000002</v>
      </c>
      <c r="E98" s="19">
        <v>10</v>
      </c>
      <c r="F98" s="19">
        <v>159</v>
      </c>
      <c r="G98" s="19">
        <v>-58.864400000000003</v>
      </c>
      <c r="H98" s="19">
        <v>-52.676499999999997</v>
      </c>
      <c r="I98" s="19">
        <v>-76.754099999999994</v>
      </c>
      <c r="J98" s="19">
        <v>22.90889</v>
      </c>
      <c r="K98" s="19">
        <v>-0.22448000000000001</v>
      </c>
    </row>
    <row r="99" spans="1:25" x14ac:dyDescent="0.25">
      <c r="A99" s="19">
        <v>88</v>
      </c>
      <c r="B99" s="19">
        <v>9.1632739999999995</v>
      </c>
      <c r="C99" s="19">
        <v>4.274E-3</v>
      </c>
      <c r="D99" s="19">
        <v>-18.020700000000001</v>
      </c>
      <c r="E99" s="19">
        <v>22</v>
      </c>
      <c r="F99" s="19">
        <v>212</v>
      </c>
      <c r="G99" s="19">
        <v>-57.561100000000003</v>
      </c>
      <c r="H99" s="19">
        <v>-49.872</v>
      </c>
      <c r="I99" s="19">
        <v>-77.093699999999998</v>
      </c>
      <c r="J99" s="19">
        <v>22.50835</v>
      </c>
      <c r="K99" s="19">
        <v>-0.22448000000000001</v>
      </c>
    </row>
    <row r="100" spans="1:25" x14ac:dyDescent="0.25">
      <c r="A100" s="19">
        <v>69</v>
      </c>
      <c r="B100" s="19">
        <v>5.2969080000000002</v>
      </c>
      <c r="C100" s="19">
        <v>3.764E-3</v>
      </c>
      <c r="D100" s="19">
        <v>13.364710000000001</v>
      </c>
      <c r="E100" s="19">
        <v>13</v>
      </c>
      <c r="F100" s="19">
        <v>199</v>
      </c>
      <c r="G100" s="19">
        <v>-57.634399999999999</v>
      </c>
      <c r="H100" s="19">
        <v>-49.730499999999999</v>
      </c>
      <c r="I100" s="19">
        <v>-76.350099999999998</v>
      </c>
      <c r="J100" s="19">
        <v>25.07573</v>
      </c>
      <c r="K100" s="19">
        <v>-0.22448000000000001</v>
      </c>
    </row>
    <row r="101" spans="1:25" x14ac:dyDescent="0.25">
      <c r="A101" s="19">
        <v>26</v>
      </c>
      <c r="B101" s="19">
        <v>5.1805399999999997</v>
      </c>
      <c r="C101" s="19">
        <v>5.0499999999999998E-3</v>
      </c>
      <c r="D101" s="19">
        <v>4.4410639999999999</v>
      </c>
      <c r="E101" s="19">
        <v>16</v>
      </c>
      <c r="F101" s="19">
        <v>163</v>
      </c>
      <c r="G101" s="19">
        <v>-57.378700000000002</v>
      </c>
      <c r="H101" s="19">
        <v>-48.398299999999999</v>
      </c>
      <c r="I101" s="19">
        <v>-76.366399999999999</v>
      </c>
      <c r="J101" s="19">
        <v>23.757290000000001</v>
      </c>
      <c r="K101" s="19">
        <v>-0.22448000000000001</v>
      </c>
    </row>
    <row r="102" spans="1:25" x14ac:dyDescent="0.25">
      <c r="A102" s="19">
        <v>13</v>
      </c>
      <c r="B102" s="19">
        <v>9.4869699999999995</v>
      </c>
      <c r="C102" s="19">
        <v>3.392E-3</v>
      </c>
      <c r="D102" s="19">
        <v>-15.097099999999999</v>
      </c>
      <c r="E102" s="19">
        <v>21</v>
      </c>
      <c r="F102" s="19">
        <v>264</v>
      </c>
      <c r="G102" s="19">
        <v>-58.733400000000003</v>
      </c>
      <c r="H102" s="19">
        <v>-53.204900000000002</v>
      </c>
      <c r="I102" s="19">
        <v>-77.587000000000003</v>
      </c>
      <c r="J102" s="19">
        <v>22.635739999999998</v>
      </c>
      <c r="K102" s="19">
        <v>-0.22448000000000001</v>
      </c>
    </row>
    <row r="103" spans="1:25" x14ac:dyDescent="0.25">
      <c r="A103" s="19">
        <v>20</v>
      </c>
      <c r="B103" s="19">
        <v>3.69116</v>
      </c>
      <c r="C103" s="19">
        <v>4.1159999999999999E-3</v>
      </c>
      <c r="D103" s="19">
        <v>23.112449999999999</v>
      </c>
      <c r="E103" s="19">
        <v>11</v>
      </c>
      <c r="F103" s="19">
        <v>183</v>
      </c>
      <c r="G103" s="19">
        <v>-58.333599999999997</v>
      </c>
      <c r="H103" s="19">
        <v>-52.607199999999999</v>
      </c>
      <c r="I103" s="19">
        <v>-76.308499999999995</v>
      </c>
      <c r="J103" s="19">
        <v>22.297429999999999</v>
      </c>
      <c r="K103" s="19">
        <v>-0.22449</v>
      </c>
    </row>
    <row r="104" spans="1:25" x14ac:dyDescent="0.25">
      <c r="A104" s="19">
        <v>28</v>
      </c>
      <c r="B104" s="19">
        <v>2.1491730000000002</v>
      </c>
      <c r="C104" s="19">
        <v>3.738E-3</v>
      </c>
      <c r="D104" s="19">
        <v>-3.8214399999999999</v>
      </c>
      <c r="E104" s="19">
        <v>18</v>
      </c>
      <c r="F104" s="19">
        <v>138</v>
      </c>
      <c r="G104" s="19">
        <v>-58.333300000000001</v>
      </c>
      <c r="H104" s="19">
        <v>-50.780299999999997</v>
      </c>
      <c r="I104" s="19">
        <v>-77.592299999999994</v>
      </c>
      <c r="J104" s="19">
        <v>23.479050000000001</v>
      </c>
      <c r="K104" s="19">
        <v>-0.22449</v>
      </c>
    </row>
    <row r="105" spans="1:25" x14ac:dyDescent="0.25">
      <c r="A105" s="19">
        <v>78</v>
      </c>
      <c r="B105" s="19">
        <v>3.5560480000000001</v>
      </c>
      <c r="C105" s="19">
        <v>4.8869999999999999E-3</v>
      </c>
      <c r="D105" s="19">
        <v>-15.5648</v>
      </c>
      <c r="E105" s="19">
        <v>25</v>
      </c>
      <c r="F105" s="19">
        <v>141</v>
      </c>
      <c r="G105" s="19">
        <v>-57.639800000000001</v>
      </c>
      <c r="H105" s="19">
        <v>-49.469000000000001</v>
      </c>
      <c r="I105" s="19">
        <v>-76.185900000000004</v>
      </c>
      <c r="J105" s="19">
        <v>26.89086</v>
      </c>
      <c r="K105" s="19">
        <v>-0.22450000000000001</v>
      </c>
    </row>
    <row r="106" spans="1:25" x14ac:dyDescent="0.25">
      <c r="A106" s="19">
        <v>84</v>
      </c>
      <c r="B106" s="19">
        <v>3.9614630000000002</v>
      </c>
      <c r="C106" s="19">
        <v>4.6389999999999999E-3</v>
      </c>
      <c r="D106" s="19">
        <v>8.6836450000000003</v>
      </c>
      <c r="E106" s="19">
        <v>15</v>
      </c>
      <c r="F106" s="19">
        <v>165</v>
      </c>
      <c r="G106" s="19">
        <v>-57.099800000000002</v>
      </c>
      <c r="H106" s="19">
        <v>-51.718800000000002</v>
      </c>
      <c r="I106" s="19">
        <v>-73.968500000000006</v>
      </c>
      <c r="J106" s="19">
        <v>27.798639999999999</v>
      </c>
      <c r="K106" s="19">
        <v>-0.22450000000000001</v>
      </c>
    </row>
    <row r="107" spans="1:25" x14ac:dyDescent="0.25">
      <c r="A107" s="19">
        <v>83</v>
      </c>
      <c r="B107" s="19">
        <v>10.091749999999999</v>
      </c>
      <c r="C107" s="19">
        <v>5.8589999999999996E-3</v>
      </c>
      <c r="D107" s="19">
        <v>21.183979999999998</v>
      </c>
      <c r="E107" s="19">
        <v>18</v>
      </c>
      <c r="F107" s="19">
        <v>239</v>
      </c>
      <c r="G107" s="19">
        <v>-58.2517</v>
      </c>
      <c r="H107" s="19">
        <v>-52.843200000000003</v>
      </c>
      <c r="I107" s="19">
        <v>-77.23</v>
      </c>
      <c r="J107" s="19">
        <v>22.501709999999999</v>
      </c>
      <c r="K107" s="19">
        <v>-0.22450000000000001</v>
      </c>
    </row>
    <row r="108" spans="1:25" x14ac:dyDescent="0.25">
      <c r="A108" s="19">
        <v>22</v>
      </c>
      <c r="B108" s="19">
        <v>10.471069999999999</v>
      </c>
      <c r="C108" s="19">
        <v>4.0600000000000002E-3</v>
      </c>
      <c r="D108" s="19">
        <v>-1.4759199999999999</v>
      </c>
      <c r="E108" s="19">
        <v>14</v>
      </c>
      <c r="F108" s="19">
        <v>212</v>
      </c>
      <c r="G108" s="19">
        <v>-57.344700000000003</v>
      </c>
      <c r="H108" s="19">
        <v>-50.4054</v>
      </c>
      <c r="I108" s="19">
        <v>-77.082300000000004</v>
      </c>
      <c r="J108" s="19">
        <v>27.047080000000001</v>
      </c>
      <c r="K108" s="19">
        <v>-0.22450000000000001</v>
      </c>
    </row>
    <row r="109" spans="1:25" x14ac:dyDescent="0.25">
      <c r="A109" s="19">
        <v>91</v>
      </c>
      <c r="B109" s="19">
        <v>7.6423730000000001</v>
      </c>
      <c r="C109" s="19">
        <v>4.6169999999999996E-3</v>
      </c>
      <c r="D109" s="19">
        <v>24.060739999999999</v>
      </c>
      <c r="E109" s="19">
        <v>3</v>
      </c>
      <c r="F109" s="19">
        <v>148</v>
      </c>
      <c r="G109" s="19">
        <v>-58.777900000000002</v>
      </c>
      <c r="H109" s="19">
        <v>-52.356499999999997</v>
      </c>
      <c r="I109" s="19">
        <v>-76.2547</v>
      </c>
      <c r="J109" s="19">
        <v>25.82152</v>
      </c>
      <c r="K109" s="19">
        <v>-0.22450999999999999</v>
      </c>
    </row>
    <row r="110" spans="1:25" x14ac:dyDescent="0.25">
      <c r="A110" s="19">
        <v>97</v>
      </c>
      <c r="B110" s="19">
        <v>10.407209999999999</v>
      </c>
      <c r="C110" s="19">
        <v>3.7330000000000002E-3</v>
      </c>
      <c r="D110" s="19">
        <v>-2.6797200000000001</v>
      </c>
      <c r="E110" s="19">
        <v>16</v>
      </c>
      <c r="F110" s="19">
        <v>237</v>
      </c>
      <c r="G110" s="19">
        <v>-57.705599999999997</v>
      </c>
      <c r="H110" s="19">
        <v>-50.739899999999999</v>
      </c>
      <c r="I110" s="19">
        <v>-76.555499999999995</v>
      </c>
      <c r="J110" s="19">
        <v>26.799779999999998</v>
      </c>
      <c r="K110" s="19">
        <v>-0.22450999999999999</v>
      </c>
    </row>
    <row r="111" spans="1:25" x14ac:dyDescent="0.25">
      <c r="A111" s="19">
        <v>58</v>
      </c>
      <c r="B111" s="19">
        <v>3.0249869999999999</v>
      </c>
      <c r="C111" s="19">
        <v>4.3920000000000001E-3</v>
      </c>
      <c r="D111" s="19">
        <v>9.8285610000000005</v>
      </c>
      <c r="E111" s="19">
        <v>16</v>
      </c>
      <c r="F111" s="19">
        <v>165</v>
      </c>
      <c r="G111" s="19">
        <v>-58.015799999999999</v>
      </c>
      <c r="H111" s="19">
        <v>-52.369</v>
      </c>
      <c r="I111" s="19">
        <v>-75.938000000000002</v>
      </c>
      <c r="J111" s="19">
        <v>26.843430000000001</v>
      </c>
      <c r="K111" s="19">
        <v>-0.22450999999999999</v>
      </c>
    </row>
    <row r="112" spans="1:25" x14ac:dyDescent="0.25">
      <c r="A112" s="19">
        <v>65</v>
      </c>
      <c r="B112" s="19">
        <v>2.3495050000000002</v>
      </c>
      <c r="C112" s="19">
        <v>3.9100000000000003E-3</v>
      </c>
      <c r="D112" s="19">
        <v>17.928370000000001</v>
      </c>
      <c r="E112" s="19">
        <v>8</v>
      </c>
      <c r="F112" s="19">
        <v>139</v>
      </c>
      <c r="G112" s="19">
        <v>-58.7378</v>
      </c>
      <c r="H112" s="19">
        <v>-49.252800000000001</v>
      </c>
      <c r="I112" s="19">
        <v>-77.584000000000003</v>
      </c>
      <c r="J112" s="19">
        <v>21.976369999999999</v>
      </c>
      <c r="K112" s="19">
        <v>-0.22453000000000001</v>
      </c>
    </row>
    <row r="113" spans="1:25" x14ac:dyDescent="0.25">
      <c r="A113" s="19">
        <v>53</v>
      </c>
      <c r="B113" s="19">
        <v>7.0894740000000001</v>
      </c>
      <c r="C113" s="19">
        <v>3.3249999999999998E-3</v>
      </c>
      <c r="D113" s="19">
        <v>-19.731000000000002</v>
      </c>
      <c r="E113" s="19">
        <v>20</v>
      </c>
      <c r="F113" s="19">
        <v>219</v>
      </c>
      <c r="G113" s="19">
        <v>-57.137999999999998</v>
      </c>
      <c r="H113" s="19">
        <v>-51.399900000000002</v>
      </c>
      <c r="I113" s="19">
        <v>-75.2042</v>
      </c>
      <c r="J113" s="19">
        <v>27.289370000000002</v>
      </c>
      <c r="K113" s="19">
        <v>-0.22456999999999999</v>
      </c>
    </row>
    <row r="114" spans="1:25" x14ac:dyDescent="0.25">
      <c r="A114" s="19">
        <v>61</v>
      </c>
      <c r="B114" s="19">
        <v>1.4739599999999999</v>
      </c>
      <c r="C114" s="19">
        <v>4.2249999999999996E-3</v>
      </c>
      <c r="D114" s="19">
        <v>12.1463</v>
      </c>
      <c r="E114" s="19">
        <v>8</v>
      </c>
      <c r="F114" s="19">
        <v>109</v>
      </c>
      <c r="G114" s="19">
        <v>-57.395699999999998</v>
      </c>
      <c r="H114" s="19">
        <v>-52.374899999999997</v>
      </c>
      <c r="I114" s="19">
        <v>-74.212599999999995</v>
      </c>
      <c r="J114" s="19">
        <v>25.919419999999999</v>
      </c>
      <c r="K114" s="19">
        <v>-0.22456999999999999</v>
      </c>
    </row>
    <row r="115" spans="1:25" x14ac:dyDescent="0.25">
      <c r="A115" s="19">
        <v>6</v>
      </c>
      <c r="B115" s="19">
        <v>10.109310000000001</v>
      </c>
      <c r="C115" s="19">
        <v>3.9329999999999999E-3</v>
      </c>
      <c r="D115" s="19">
        <v>-6.51389</v>
      </c>
      <c r="E115" s="19">
        <v>21</v>
      </c>
      <c r="F115" s="19">
        <v>272</v>
      </c>
      <c r="G115" s="19">
        <v>-58.773200000000003</v>
      </c>
      <c r="H115" s="19">
        <v>-53.480499999999999</v>
      </c>
      <c r="I115" s="19">
        <v>-74.400099999999995</v>
      </c>
      <c r="J115" s="19">
        <v>25.48076</v>
      </c>
      <c r="K115" s="19">
        <v>-0.22458</v>
      </c>
    </row>
    <row r="116" spans="1:25" x14ac:dyDescent="0.25">
      <c r="A116" s="19">
        <v>59</v>
      </c>
      <c r="B116" s="19">
        <v>7.748062</v>
      </c>
      <c r="C116" s="19">
        <v>3.8219999999999999E-3</v>
      </c>
      <c r="D116" s="19">
        <v>-14.819100000000001</v>
      </c>
      <c r="E116" s="19">
        <v>23</v>
      </c>
      <c r="F116" s="19">
        <v>241</v>
      </c>
      <c r="G116" s="19">
        <v>-57.412100000000002</v>
      </c>
      <c r="H116" s="19">
        <v>-52.032899999999998</v>
      </c>
      <c r="I116" s="19">
        <v>-76.469499999999996</v>
      </c>
      <c r="J116" s="19">
        <v>26.715199999999999</v>
      </c>
      <c r="K116" s="19">
        <v>-0.22458</v>
      </c>
    </row>
    <row r="122" spans="1:25" ht="30" x14ac:dyDescent="0.25">
      <c r="A122" t="s">
        <v>43</v>
      </c>
      <c r="N122" t="s">
        <v>413</v>
      </c>
      <c r="O122" t="s">
        <v>414</v>
      </c>
      <c r="P122" t="s">
        <v>415</v>
      </c>
      <c r="Q122" t="s">
        <v>416</v>
      </c>
      <c r="R122" t="s">
        <v>417</v>
      </c>
      <c r="S122" t="s">
        <v>418</v>
      </c>
      <c r="T122" t="s">
        <v>419</v>
      </c>
      <c r="U122" t="s">
        <v>420</v>
      </c>
      <c r="V122" t="s">
        <v>421</v>
      </c>
      <c r="W122" s="19" t="s">
        <v>296</v>
      </c>
      <c r="X122" s="19" t="s">
        <v>297</v>
      </c>
      <c r="Y122" s="19" t="s">
        <v>317</v>
      </c>
    </row>
    <row r="123" spans="1:25" ht="180" x14ac:dyDescent="0.25">
      <c r="A123" s="19" t="s">
        <v>412</v>
      </c>
      <c r="B123" s="19" t="s">
        <v>413</v>
      </c>
      <c r="C123" s="19" t="s">
        <v>414</v>
      </c>
      <c r="D123" s="19" t="s">
        <v>415</v>
      </c>
      <c r="E123" s="19" t="s">
        <v>416</v>
      </c>
      <c r="F123" s="19" t="s">
        <v>417</v>
      </c>
      <c r="G123" s="19" t="s">
        <v>418</v>
      </c>
      <c r="H123" s="19" t="s">
        <v>419</v>
      </c>
      <c r="I123" s="19" t="s">
        <v>420</v>
      </c>
      <c r="J123" s="19" t="s">
        <v>421</v>
      </c>
      <c r="K123" s="19" t="s">
        <v>422</v>
      </c>
      <c r="M123" t="s">
        <v>423</v>
      </c>
      <c r="N123">
        <f t="shared" ref="N123:V123" si="6">AVERAGE(B124:B143)</f>
        <v>0.80295629999999996</v>
      </c>
      <c r="O123">
        <f t="shared" si="6"/>
        <v>1.4536000000000002E-3</v>
      </c>
      <c r="P123">
        <f t="shared" si="6"/>
        <v>18.4197925</v>
      </c>
      <c r="Q123">
        <f t="shared" si="6"/>
        <v>-2.85</v>
      </c>
      <c r="R123">
        <f t="shared" si="6"/>
        <v>58.7</v>
      </c>
      <c r="S123">
        <f t="shared" si="6"/>
        <v>-57.516729999999995</v>
      </c>
      <c r="T123">
        <f t="shared" si="6"/>
        <v>-24.502945000000004</v>
      </c>
      <c r="U123">
        <f t="shared" si="6"/>
        <v>-47.701350000000005</v>
      </c>
      <c r="V123">
        <f t="shared" si="6"/>
        <v>17.552409500000003</v>
      </c>
      <c r="W123" s="19" t="s">
        <v>640</v>
      </c>
      <c r="X123" s="19" t="s">
        <v>636</v>
      </c>
      <c r="Y123" s="19" t="s">
        <v>644</v>
      </c>
    </row>
    <row r="124" spans="1:25" ht="195" x14ac:dyDescent="0.25">
      <c r="A124" s="19">
        <v>139</v>
      </c>
      <c r="B124" s="19">
        <v>0.84087599999999996</v>
      </c>
      <c r="C124" s="19">
        <v>1.3940000000000001E-3</v>
      </c>
      <c r="D124" s="19">
        <v>19.55799</v>
      </c>
      <c r="E124" s="19">
        <v>-3</v>
      </c>
      <c r="F124" s="19">
        <v>62</v>
      </c>
      <c r="G124" s="19">
        <v>-57.967599999999997</v>
      </c>
      <c r="H124" s="19">
        <v>-25.953299999999999</v>
      </c>
      <c r="I124" s="19">
        <v>-47.401299999999999</v>
      </c>
      <c r="J124" s="19">
        <v>17.463280000000001</v>
      </c>
      <c r="K124" s="19">
        <v>-1.48516</v>
      </c>
      <c r="M124" t="s">
        <v>424</v>
      </c>
      <c r="N124">
        <f t="shared" ref="N124:V124" si="7">_xlfn.STDEV.S(B124:B143)</f>
        <v>5.4186921229447203E-2</v>
      </c>
      <c r="O124">
        <f t="shared" si="7"/>
        <v>4.1381745276211624E-4</v>
      </c>
      <c r="P124">
        <f t="shared" si="7"/>
        <v>1.2782520066743899</v>
      </c>
      <c r="Q124">
        <f t="shared" si="7"/>
        <v>2.4767338424456895</v>
      </c>
      <c r="R124">
        <f t="shared" si="7"/>
        <v>3.3261325732352947</v>
      </c>
      <c r="S124">
        <f t="shared" si="7"/>
        <v>0.3232924162751929</v>
      </c>
      <c r="T124">
        <f t="shared" si="7"/>
        <v>0.90524474008268518</v>
      </c>
      <c r="U124">
        <f t="shared" si="7"/>
        <v>0.75057116111314681</v>
      </c>
      <c r="V124">
        <f t="shared" si="7"/>
        <v>0.54989674190969173</v>
      </c>
      <c r="W124" s="19" t="s">
        <v>640</v>
      </c>
      <c r="X124" s="19" t="s">
        <v>637</v>
      </c>
      <c r="Y124" s="19" t="s">
        <v>645</v>
      </c>
    </row>
    <row r="125" spans="1:25" x14ac:dyDescent="0.25">
      <c r="A125" s="19">
        <v>8</v>
      </c>
      <c r="B125" s="19">
        <v>0.936751</v>
      </c>
      <c r="C125" s="77">
        <v>7.5199999999999996E-4</v>
      </c>
      <c r="D125" s="19">
        <v>19.80443</v>
      </c>
      <c r="E125" s="19">
        <v>0</v>
      </c>
      <c r="F125" s="19">
        <v>55</v>
      </c>
      <c r="G125" s="19">
        <v>-57.188200000000002</v>
      </c>
      <c r="H125" s="19">
        <v>-24.9907</v>
      </c>
      <c r="I125" s="19">
        <v>-47.599800000000002</v>
      </c>
      <c r="J125" s="19">
        <v>17.010819999999999</v>
      </c>
      <c r="K125" s="19">
        <v>-1.5055400000000001</v>
      </c>
    </row>
    <row r="126" spans="1:25" x14ac:dyDescent="0.25">
      <c r="A126" s="19">
        <v>110</v>
      </c>
      <c r="B126" s="19">
        <v>0.78680499999999998</v>
      </c>
      <c r="C126" s="19">
        <v>1.3090000000000001E-3</v>
      </c>
      <c r="D126" s="19">
        <v>18.93929</v>
      </c>
      <c r="E126" s="19">
        <v>-2</v>
      </c>
      <c r="F126" s="19">
        <v>59</v>
      </c>
      <c r="G126" s="19">
        <v>-57.733899999999998</v>
      </c>
      <c r="H126" s="19">
        <v>-25.271999999999998</v>
      </c>
      <c r="I126" s="19">
        <v>-47.835299999999997</v>
      </c>
      <c r="J126" s="19">
        <v>17.877389999999998</v>
      </c>
      <c r="K126" s="19">
        <v>-1.50726</v>
      </c>
    </row>
    <row r="127" spans="1:25" x14ac:dyDescent="0.25">
      <c r="A127" s="19">
        <v>129</v>
      </c>
      <c r="B127" s="19">
        <v>0.75177300000000002</v>
      </c>
      <c r="C127" s="19">
        <v>1.5809999999999999E-3</v>
      </c>
      <c r="D127" s="19">
        <v>16.118379999999998</v>
      </c>
      <c r="E127" s="19">
        <v>-2</v>
      </c>
      <c r="F127" s="19">
        <v>57</v>
      </c>
      <c r="G127" s="19">
        <v>-57.862200000000001</v>
      </c>
      <c r="H127" s="19">
        <v>-25.0442</v>
      </c>
      <c r="I127" s="19">
        <v>-46.942399999999999</v>
      </c>
      <c r="J127" s="19">
        <v>17.602979999999999</v>
      </c>
      <c r="K127" s="19">
        <v>-1.53999</v>
      </c>
    </row>
    <row r="128" spans="1:25" x14ac:dyDescent="0.25">
      <c r="A128" s="19">
        <v>101</v>
      </c>
      <c r="B128" s="19">
        <v>0.77483299999999999</v>
      </c>
      <c r="C128" s="19">
        <v>1.41E-3</v>
      </c>
      <c r="D128" s="19">
        <v>18.59506</v>
      </c>
      <c r="E128" s="19">
        <v>-3</v>
      </c>
      <c r="F128" s="19">
        <v>60</v>
      </c>
      <c r="G128" s="19">
        <v>-57.1327</v>
      </c>
      <c r="H128" s="19">
        <v>-23.904599999999999</v>
      </c>
      <c r="I128" s="19">
        <v>-46.265000000000001</v>
      </c>
      <c r="J128" s="19">
        <v>18.210999999999999</v>
      </c>
      <c r="K128" s="19">
        <v>-1.5429299999999999</v>
      </c>
    </row>
    <row r="129" spans="1:11" x14ac:dyDescent="0.25">
      <c r="A129" s="19">
        <v>11</v>
      </c>
      <c r="B129" s="19">
        <v>0.76113299999999995</v>
      </c>
      <c r="C129" s="19">
        <v>1.944E-3</v>
      </c>
      <c r="D129" s="19">
        <v>19.279319999999998</v>
      </c>
      <c r="E129" s="19">
        <v>-7</v>
      </c>
      <c r="F129" s="19">
        <v>57</v>
      </c>
      <c r="G129" s="19">
        <v>-57.8977</v>
      </c>
      <c r="H129" s="19">
        <v>-23.674199999999999</v>
      </c>
      <c r="I129" s="19">
        <v>-48.323300000000003</v>
      </c>
      <c r="J129" s="19">
        <v>16.75339</v>
      </c>
      <c r="K129" s="19">
        <v>-1.56324</v>
      </c>
    </row>
    <row r="130" spans="1:11" x14ac:dyDescent="0.25">
      <c r="A130" s="19">
        <v>3</v>
      </c>
      <c r="B130" s="19">
        <v>0.84204800000000002</v>
      </c>
      <c r="C130" s="19">
        <v>1.7420000000000001E-3</v>
      </c>
      <c r="D130" s="19">
        <v>19.68329</v>
      </c>
      <c r="E130" s="19">
        <v>-6</v>
      </c>
      <c r="F130" s="19">
        <v>61</v>
      </c>
      <c r="G130" s="19">
        <v>-57.639499999999998</v>
      </c>
      <c r="H130" s="19">
        <v>-24.2819</v>
      </c>
      <c r="I130" s="19">
        <v>-47.508299999999998</v>
      </c>
      <c r="J130" s="19">
        <v>16.484200000000001</v>
      </c>
      <c r="K130" s="19">
        <v>-1.5743400000000001</v>
      </c>
    </row>
    <row r="131" spans="1:11" x14ac:dyDescent="0.25">
      <c r="A131" s="19">
        <v>78</v>
      </c>
      <c r="B131" s="19">
        <v>0.76619700000000002</v>
      </c>
      <c r="C131" s="19">
        <v>1.0200000000000001E-3</v>
      </c>
      <c r="D131" s="19">
        <v>18.58689</v>
      </c>
      <c r="E131" s="19">
        <v>0</v>
      </c>
      <c r="F131" s="19">
        <v>62</v>
      </c>
      <c r="G131" s="19">
        <v>-57.448399999999999</v>
      </c>
      <c r="H131" s="19">
        <v>-24.4834</v>
      </c>
      <c r="I131" s="19">
        <v>-48.366100000000003</v>
      </c>
      <c r="J131" s="19">
        <v>17.337070000000001</v>
      </c>
      <c r="K131" s="19">
        <v>-1.5798399999999999</v>
      </c>
    </row>
    <row r="132" spans="1:11" x14ac:dyDescent="0.25">
      <c r="A132" s="19">
        <v>108</v>
      </c>
      <c r="B132" s="19">
        <v>0.85598399999999997</v>
      </c>
      <c r="C132" s="19">
        <v>1.7979999999999999E-3</v>
      </c>
      <c r="D132" s="19">
        <v>18.827500000000001</v>
      </c>
      <c r="E132" s="19">
        <v>-5</v>
      </c>
      <c r="F132" s="19">
        <v>57</v>
      </c>
      <c r="G132" s="19">
        <v>-57.902000000000001</v>
      </c>
      <c r="H132" s="19">
        <v>-25.0487</v>
      </c>
      <c r="I132" s="19">
        <v>-48.862499999999997</v>
      </c>
      <c r="J132" s="19">
        <v>17.595120000000001</v>
      </c>
      <c r="K132" s="19">
        <v>-1.57986</v>
      </c>
    </row>
    <row r="133" spans="1:11" x14ac:dyDescent="0.25">
      <c r="A133" s="19">
        <v>72</v>
      </c>
      <c r="B133" s="19">
        <v>0.77309499999999998</v>
      </c>
      <c r="C133" s="77">
        <v>9.6500000000000004E-4</v>
      </c>
      <c r="D133" s="19">
        <v>19.325230000000001</v>
      </c>
      <c r="E133" s="19">
        <v>0</v>
      </c>
      <c r="F133" s="19">
        <v>58</v>
      </c>
      <c r="G133" s="19">
        <v>-57.751199999999997</v>
      </c>
      <c r="H133" s="19">
        <v>-25.686900000000001</v>
      </c>
      <c r="I133" s="19">
        <v>-47.6965</v>
      </c>
      <c r="J133" s="19">
        <v>17.939029999999999</v>
      </c>
      <c r="K133" s="19">
        <v>-1.58365</v>
      </c>
    </row>
    <row r="134" spans="1:11" x14ac:dyDescent="0.25">
      <c r="A134" s="19">
        <v>28</v>
      </c>
      <c r="B134" s="19">
        <v>0.91915199999999997</v>
      </c>
      <c r="C134" s="19">
        <v>2.3140000000000001E-3</v>
      </c>
      <c r="D134" s="19">
        <v>17.85247</v>
      </c>
      <c r="E134" s="19">
        <v>-8</v>
      </c>
      <c r="F134" s="19">
        <v>61</v>
      </c>
      <c r="G134" s="19">
        <v>-57.397599999999997</v>
      </c>
      <c r="H134" s="19">
        <v>-24.781400000000001</v>
      </c>
      <c r="I134" s="19">
        <v>-47.3264</v>
      </c>
      <c r="J134" s="19">
        <v>17.10463</v>
      </c>
      <c r="K134" s="19">
        <v>-1.5913299999999999</v>
      </c>
    </row>
    <row r="135" spans="1:11" x14ac:dyDescent="0.25">
      <c r="A135" s="19">
        <v>19</v>
      </c>
      <c r="B135" s="19">
        <v>0.757517</v>
      </c>
      <c r="C135" s="19">
        <v>1.4369999999999999E-3</v>
      </c>
      <c r="D135" s="19">
        <v>18.164580000000001</v>
      </c>
      <c r="E135" s="19">
        <v>-3</v>
      </c>
      <c r="F135" s="19">
        <v>54</v>
      </c>
      <c r="G135" s="19">
        <v>-57.113799999999998</v>
      </c>
      <c r="H135" s="19">
        <v>-22.257400000000001</v>
      </c>
      <c r="I135" s="19">
        <v>-48.113599999999998</v>
      </c>
      <c r="J135" s="19">
        <v>17.56889</v>
      </c>
      <c r="K135" s="19">
        <v>-1.5961000000000001</v>
      </c>
    </row>
    <row r="136" spans="1:11" x14ac:dyDescent="0.25">
      <c r="A136" s="19">
        <v>111</v>
      </c>
      <c r="B136" s="19">
        <v>0.77217400000000003</v>
      </c>
      <c r="C136" s="19">
        <v>1.152E-3</v>
      </c>
      <c r="D136" s="19">
        <v>18.22373</v>
      </c>
      <c r="E136" s="19">
        <v>-1</v>
      </c>
      <c r="F136" s="19">
        <v>63</v>
      </c>
      <c r="G136" s="19">
        <v>-57.7911</v>
      </c>
      <c r="H136" s="19">
        <v>-24.564800000000002</v>
      </c>
      <c r="I136" s="19">
        <v>-47.803199999999997</v>
      </c>
      <c r="J136" s="19">
        <v>17.847380000000001</v>
      </c>
      <c r="K136" s="19">
        <v>-1.6088499999999999</v>
      </c>
    </row>
    <row r="137" spans="1:11" x14ac:dyDescent="0.25">
      <c r="A137" s="19">
        <v>36</v>
      </c>
      <c r="B137" s="19">
        <v>0.76455499999999998</v>
      </c>
      <c r="C137" s="77">
        <v>9.8400000000000007E-4</v>
      </c>
      <c r="D137" s="19">
        <v>19.608029999999999</v>
      </c>
      <c r="E137" s="19">
        <v>0</v>
      </c>
      <c r="F137" s="19">
        <v>61</v>
      </c>
      <c r="G137" s="19">
        <v>-57.552199999999999</v>
      </c>
      <c r="H137" s="19">
        <v>-25.429500000000001</v>
      </c>
      <c r="I137" s="19">
        <v>-48.521599999999999</v>
      </c>
      <c r="J137" s="19">
        <v>16.93581</v>
      </c>
      <c r="K137" s="19">
        <v>-1.62042</v>
      </c>
    </row>
    <row r="138" spans="1:11" x14ac:dyDescent="0.25">
      <c r="A138" s="19">
        <v>97</v>
      </c>
      <c r="B138" s="19">
        <v>0.79480899999999999</v>
      </c>
      <c r="C138" s="19">
        <v>1.565E-3</v>
      </c>
      <c r="D138" s="19">
        <v>17.543790000000001</v>
      </c>
      <c r="E138" s="19">
        <v>-3</v>
      </c>
      <c r="F138" s="19">
        <v>56</v>
      </c>
      <c r="G138" s="19">
        <v>-57.945099999999996</v>
      </c>
      <c r="H138" s="19">
        <v>-24.620100000000001</v>
      </c>
      <c r="I138" s="19">
        <v>-48.5212</v>
      </c>
      <c r="J138" s="19">
        <v>17.55997</v>
      </c>
      <c r="K138" s="19">
        <v>-1.6284799999999999</v>
      </c>
    </row>
    <row r="139" spans="1:11" x14ac:dyDescent="0.25">
      <c r="A139" s="19">
        <v>43</v>
      </c>
      <c r="B139" s="19">
        <v>0.78906500000000002</v>
      </c>
      <c r="C139" s="19">
        <v>1.2539999999999999E-3</v>
      </c>
      <c r="D139" s="19">
        <v>18.517589999999998</v>
      </c>
      <c r="E139" s="19">
        <v>-2</v>
      </c>
      <c r="F139" s="19">
        <v>59</v>
      </c>
      <c r="G139" s="19">
        <v>-57.240400000000001</v>
      </c>
      <c r="H139" s="19">
        <v>-23.7654</v>
      </c>
      <c r="I139" s="19">
        <v>-46.3247</v>
      </c>
      <c r="J139" s="19">
        <v>18.181329999999999</v>
      </c>
      <c r="K139" s="19">
        <v>-1.6313500000000001</v>
      </c>
    </row>
    <row r="140" spans="1:11" x14ac:dyDescent="0.25">
      <c r="A140" s="19">
        <v>74</v>
      </c>
      <c r="B140" s="19">
        <v>0.75228200000000001</v>
      </c>
      <c r="C140" s="77">
        <v>9.8700000000000003E-4</v>
      </c>
      <c r="D140" s="19">
        <v>18.198450000000001</v>
      </c>
      <c r="E140" s="19">
        <v>0</v>
      </c>
      <c r="F140" s="19">
        <v>66</v>
      </c>
      <c r="G140" s="19">
        <v>-57.175899999999999</v>
      </c>
      <c r="H140" s="19">
        <v>-24.4055</v>
      </c>
      <c r="I140" s="19">
        <v>-46.414499999999997</v>
      </c>
      <c r="J140" s="19">
        <v>17.889559999999999</v>
      </c>
      <c r="K140" s="19">
        <v>-1.6472199999999999</v>
      </c>
    </row>
    <row r="141" spans="1:11" x14ac:dyDescent="0.25">
      <c r="A141" s="19">
        <v>128</v>
      </c>
      <c r="B141" s="19">
        <v>0.85003399999999996</v>
      </c>
      <c r="C141" s="19">
        <v>1.629E-3</v>
      </c>
      <c r="D141" s="19">
        <v>16.339310000000001</v>
      </c>
      <c r="E141" s="19">
        <v>-2</v>
      </c>
      <c r="F141" s="19">
        <v>55</v>
      </c>
      <c r="G141" s="19">
        <v>-57.020299999999999</v>
      </c>
      <c r="H141" s="19">
        <v>-24.9209</v>
      </c>
      <c r="I141" s="19">
        <v>-47.990900000000003</v>
      </c>
      <c r="J141" s="19">
        <v>18.493469999999999</v>
      </c>
      <c r="K141" s="19">
        <v>-1.66144</v>
      </c>
    </row>
    <row r="142" spans="1:11" x14ac:dyDescent="0.25">
      <c r="A142" s="19">
        <v>90</v>
      </c>
      <c r="B142" s="19">
        <v>0.804647</v>
      </c>
      <c r="C142" s="19">
        <v>1.735E-3</v>
      </c>
      <c r="D142" s="19">
        <v>19.917369999999998</v>
      </c>
      <c r="E142" s="19">
        <v>-6</v>
      </c>
      <c r="F142" s="19">
        <v>58</v>
      </c>
      <c r="G142" s="19">
        <v>-57.363599999999998</v>
      </c>
      <c r="H142" s="19">
        <v>-24.104199999999999</v>
      </c>
      <c r="I142" s="19">
        <v>-48.334400000000002</v>
      </c>
      <c r="J142" s="19">
        <v>18.251519999999999</v>
      </c>
      <c r="K142" s="19">
        <v>-1.66744</v>
      </c>
    </row>
    <row r="143" spans="1:11" x14ac:dyDescent="0.25">
      <c r="A143" s="19">
        <v>81</v>
      </c>
      <c r="B143" s="19">
        <v>0.76539599999999997</v>
      </c>
      <c r="C143" s="19">
        <v>2.0999999999999999E-3</v>
      </c>
      <c r="D143" s="19">
        <v>15.31315</v>
      </c>
      <c r="E143" s="19">
        <v>-4</v>
      </c>
      <c r="F143" s="19">
        <v>53</v>
      </c>
      <c r="G143" s="19">
        <v>-57.211199999999998</v>
      </c>
      <c r="H143" s="19">
        <v>-22.869800000000001</v>
      </c>
      <c r="I143" s="19">
        <v>-47.875999999999998</v>
      </c>
      <c r="J143" s="19">
        <v>16.94135</v>
      </c>
      <c r="K143" s="19">
        <v>-1.66947</v>
      </c>
    </row>
    <row r="149" spans="1:25" ht="30" x14ac:dyDescent="0.25">
      <c r="A149" t="s">
        <v>425</v>
      </c>
      <c r="M149" s="19"/>
      <c r="N149" s="19" t="s">
        <v>413</v>
      </c>
      <c r="O149" s="19" t="s">
        <v>414</v>
      </c>
      <c r="P149" s="19" t="s">
        <v>415</v>
      </c>
      <c r="Q149" s="19" t="s">
        <v>416</v>
      </c>
      <c r="R149" s="19" t="s">
        <v>417</v>
      </c>
      <c r="S149" s="19" t="s">
        <v>418</v>
      </c>
      <c r="T149" s="19" t="s">
        <v>419</v>
      </c>
      <c r="U149" s="19" t="s">
        <v>420</v>
      </c>
      <c r="V149" s="19" t="s">
        <v>421</v>
      </c>
      <c r="W149" s="19" t="s">
        <v>296</v>
      </c>
      <c r="X149" s="19" t="s">
        <v>297</v>
      </c>
      <c r="Y149" s="19" t="s">
        <v>317</v>
      </c>
    </row>
    <row r="150" spans="1:25" ht="180" x14ac:dyDescent="0.25">
      <c r="A150" s="19" t="s">
        <v>412</v>
      </c>
      <c r="B150" s="19" t="s">
        <v>413</v>
      </c>
      <c r="C150" s="19" t="s">
        <v>414</v>
      </c>
      <c r="D150" s="19" t="s">
        <v>415</v>
      </c>
      <c r="E150" s="19" t="s">
        <v>416</v>
      </c>
      <c r="F150" s="19" t="s">
        <v>417</v>
      </c>
      <c r="G150" s="19" t="s">
        <v>418</v>
      </c>
      <c r="H150" s="19" t="s">
        <v>419</v>
      </c>
      <c r="I150" s="19" t="s">
        <v>420</v>
      </c>
      <c r="J150" s="19" t="s">
        <v>421</v>
      </c>
      <c r="K150" s="19" t="s">
        <v>422</v>
      </c>
      <c r="M150" s="19" t="s">
        <v>423</v>
      </c>
      <c r="N150" s="19">
        <f t="shared" ref="N150:V150" si="8">AVERAGE(B151:B170)</f>
        <v>0.53638025</v>
      </c>
      <c r="O150" s="19">
        <f t="shared" si="8"/>
        <v>6.3563500000000011E-3</v>
      </c>
      <c r="P150" s="19">
        <f t="shared" si="8"/>
        <v>0.4097166499999999</v>
      </c>
      <c r="Q150" s="19">
        <f t="shared" si="8"/>
        <v>49.9</v>
      </c>
      <c r="R150" s="19">
        <f t="shared" si="8"/>
        <v>126.5</v>
      </c>
      <c r="S150" s="19">
        <f t="shared" si="8"/>
        <v>-58.436845000000005</v>
      </c>
      <c r="T150" s="19">
        <f t="shared" si="8"/>
        <v>-38.231079999999999</v>
      </c>
      <c r="U150" s="19">
        <f t="shared" si="8"/>
        <v>-42.754165000000008</v>
      </c>
      <c r="V150" s="19">
        <f t="shared" si="8"/>
        <v>17.565503999999997</v>
      </c>
      <c r="W150" s="19" t="s">
        <v>641</v>
      </c>
      <c r="X150" s="19" t="s">
        <v>636</v>
      </c>
      <c r="Y150" s="19" t="s">
        <v>642</v>
      </c>
    </row>
    <row r="151" spans="1:25" ht="195" x14ac:dyDescent="0.25">
      <c r="A151" s="19">
        <v>73</v>
      </c>
      <c r="B151" s="19">
        <v>0.50414499999999995</v>
      </c>
      <c r="C151" s="19">
        <v>6.9160000000000003E-3</v>
      </c>
      <c r="D151" s="19">
        <v>2.3957199999999998</v>
      </c>
      <c r="E151" s="19">
        <v>44</v>
      </c>
      <c r="F151" s="19">
        <v>117</v>
      </c>
      <c r="G151" s="19">
        <v>-58.574599999999997</v>
      </c>
      <c r="H151" s="19">
        <v>-36.621400000000001</v>
      </c>
      <c r="I151" s="19">
        <v>-43.337200000000003</v>
      </c>
      <c r="J151" s="19">
        <v>18.38466</v>
      </c>
      <c r="K151" s="19">
        <v>-1.4073599999999999</v>
      </c>
      <c r="M151" s="19" t="s">
        <v>424</v>
      </c>
      <c r="N151" s="19">
        <f t="shared" ref="N151:V151" si="9">_xlfn.STDEV.S(B151:B170)</f>
        <v>4.1122842259023469E-2</v>
      </c>
      <c r="O151" s="19">
        <f t="shared" si="9"/>
        <v>8.5508228443693924E-4</v>
      </c>
      <c r="P151" s="19">
        <f t="shared" si="9"/>
        <v>2.7362498692906856</v>
      </c>
      <c r="Q151" s="19">
        <f t="shared" si="9"/>
        <v>6.1720933922053884</v>
      </c>
      <c r="R151" s="19">
        <f t="shared" si="9"/>
        <v>7.5915465451624824</v>
      </c>
      <c r="S151" s="19">
        <f t="shared" si="9"/>
        <v>0.29387029626404071</v>
      </c>
      <c r="T151" s="19">
        <f t="shared" si="9"/>
        <v>0.93450382083643402</v>
      </c>
      <c r="U151" s="19">
        <f t="shared" si="9"/>
        <v>0.77795558679549048</v>
      </c>
      <c r="V151" s="19">
        <f t="shared" si="9"/>
        <v>0.70699492081403381</v>
      </c>
      <c r="W151" s="19" t="s">
        <v>641</v>
      </c>
      <c r="X151" s="19" t="s">
        <v>637</v>
      </c>
      <c r="Y151" s="19" t="s">
        <v>643</v>
      </c>
    </row>
    <row r="152" spans="1:25" x14ac:dyDescent="0.25">
      <c r="A152" s="19">
        <v>19</v>
      </c>
      <c r="B152" s="19">
        <v>0.52454800000000001</v>
      </c>
      <c r="C152" s="19">
        <v>5.8120000000000003E-3</v>
      </c>
      <c r="D152" s="19">
        <v>-2.02921</v>
      </c>
      <c r="E152" s="19">
        <v>58</v>
      </c>
      <c r="F152" s="19">
        <v>129</v>
      </c>
      <c r="G152" s="19">
        <v>-58.149000000000001</v>
      </c>
      <c r="H152" s="19">
        <v>-37.808100000000003</v>
      </c>
      <c r="I152" s="19">
        <v>-41.270400000000002</v>
      </c>
      <c r="J152" s="19">
        <v>18.65221</v>
      </c>
      <c r="K152" s="19">
        <v>-1.40934</v>
      </c>
    </row>
    <row r="153" spans="1:25" x14ac:dyDescent="0.25">
      <c r="A153" s="19">
        <v>47</v>
      </c>
      <c r="B153" s="19">
        <v>0.54563600000000001</v>
      </c>
      <c r="C153" s="19">
        <v>7.7200000000000003E-3</v>
      </c>
      <c r="D153" s="19">
        <v>4.0526549999999997</v>
      </c>
      <c r="E153" s="19">
        <v>43</v>
      </c>
      <c r="F153" s="19">
        <v>131</v>
      </c>
      <c r="G153" s="19">
        <v>-58.909700000000001</v>
      </c>
      <c r="H153" s="19">
        <v>-38.512599999999999</v>
      </c>
      <c r="I153" s="19">
        <v>-42.459499999999998</v>
      </c>
      <c r="J153" s="19">
        <v>16.335840000000001</v>
      </c>
      <c r="K153" s="19">
        <v>-1.4093599999999999</v>
      </c>
    </row>
    <row r="154" spans="1:25" x14ac:dyDescent="0.25">
      <c r="A154" s="19">
        <v>61</v>
      </c>
      <c r="B154" s="19">
        <v>0.50017199999999995</v>
      </c>
      <c r="C154" s="19">
        <v>5.2810000000000001E-3</v>
      </c>
      <c r="D154" s="19">
        <v>-3.39432</v>
      </c>
      <c r="E154" s="19">
        <v>57</v>
      </c>
      <c r="F154" s="19">
        <v>121</v>
      </c>
      <c r="G154" s="19">
        <v>-58.877499999999998</v>
      </c>
      <c r="H154" s="19">
        <v>-38.289299999999997</v>
      </c>
      <c r="I154" s="19">
        <v>-43.692799999999998</v>
      </c>
      <c r="J154" s="19">
        <v>17.810230000000001</v>
      </c>
      <c r="K154" s="19">
        <v>-1.4094800000000001</v>
      </c>
    </row>
    <row r="155" spans="1:25" x14ac:dyDescent="0.25">
      <c r="A155" s="19">
        <v>92</v>
      </c>
      <c r="B155" s="19">
        <v>0.50897000000000003</v>
      </c>
      <c r="C155" s="19">
        <v>6.3270000000000002E-3</v>
      </c>
      <c r="D155" s="19">
        <v>0.57295799999999997</v>
      </c>
      <c r="E155" s="19">
        <v>50</v>
      </c>
      <c r="F155" s="19">
        <v>121</v>
      </c>
      <c r="G155" s="19">
        <v>-58.114400000000003</v>
      </c>
      <c r="H155" s="19">
        <v>-37.3581</v>
      </c>
      <c r="I155" s="19">
        <v>-42.921799999999998</v>
      </c>
      <c r="J155" s="19">
        <v>17.091339999999999</v>
      </c>
      <c r="K155" s="19">
        <v>-1.4094800000000001</v>
      </c>
    </row>
    <row r="156" spans="1:25" x14ac:dyDescent="0.25">
      <c r="A156" s="19">
        <v>35</v>
      </c>
      <c r="B156" s="19">
        <v>0.53029300000000001</v>
      </c>
      <c r="C156" s="19">
        <v>5.8960000000000002E-3</v>
      </c>
      <c r="D156" s="19">
        <v>-1.05233</v>
      </c>
      <c r="E156" s="19">
        <v>55</v>
      </c>
      <c r="F156" s="19">
        <v>131</v>
      </c>
      <c r="G156" s="19">
        <v>-58.060899999999997</v>
      </c>
      <c r="H156" s="19">
        <v>-37.782200000000003</v>
      </c>
      <c r="I156" s="19">
        <v>-41.459499999999998</v>
      </c>
      <c r="J156" s="19">
        <v>17.407830000000001</v>
      </c>
      <c r="K156" s="19">
        <v>-1.4101399999999999</v>
      </c>
    </row>
    <row r="157" spans="1:25" x14ac:dyDescent="0.25">
      <c r="A157" s="19">
        <v>58</v>
      </c>
      <c r="B157" s="19">
        <v>0.58232799999999996</v>
      </c>
      <c r="C157" s="19">
        <v>5.5040000000000002E-3</v>
      </c>
      <c r="D157" s="19">
        <v>-2.83561</v>
      </c>
      <c r="E157" s="19">
        <v>60</v>
      </c>
      <c r="F157" s="19">
        <v>139</v>
      </c>
      <c r="G157" s="19">
        <v>-58.760199999999998</v>
      </c>
      <c r="H157" s="19">
        <v>-40.234900000000003</v>
      </c>
      <c r="I157" s="19">
        <v>-42.8508</v>
      </c>
      <c r="J157" s="19">
        <v>17.587520000000001</v>
      </c>
      <c r="K157" s="19">
        <v>-1.4101399999999999</v>
      </c>
    </row>
    <row r="158" spans="1:25" x14ac:dyDescent="0.25">
      <c r="A158" s="19">
        <v>84</v>
      </c>
      <c r="B158" s="19">
        <v>0.52888599999999997</v>
      </c>
      <c r="C158" s="19">
        <v>7.175E-3</v>
      </c>
      <c r="D158" s="19">
        <v>2.919727</v>
      </c>
      <c r="E158" s="19">
        <v>45</v>
      </c>
      <c r="F158" s="19">
        <v>128</v>
      </c>
      <c r="G158" s="19">
        <v>-58.208100000000002</v>
      </c>
      <c r="H158" s="19">
        <v>-37.276000000000003</v>
      </c>
      <c r="I158" s="19">
        <v>-41.446399999999997</v>
      </c>
      <c r="J158" s="19">
        <v>18.464320000000001</v>
      </c>
      <c r="K158" s="19">
        <v>-1.4101399999999999</v>
      </c>
    </row>
    <row r="159" spans="1:25" x14ac:dyDescent="0.25">
      <c r="A159" s="19">
        <v>108</v>
      </c>
      <c r="B159" s="19">
        <v>0.53473899999999996</v>
      </c>
      <c r="C159" s="19">
        <v>5.0359999999999997E-3</v>
      </c>
      <c r="D159" s="19">
        <v>-4.7794999999999996</v>
      </c>
      <c r="E159" s="19">
        <v>58</v>
      </c>
      <c r="F159" s="19">
        <v>121</v>
      </c>
      <c r="G159" s="19">
        <v>-58.724600000000002</v>
      </c>
      <c r="H159" s="19">
        <v>-37.463900000000002</v>
      </c>
      <c r="I159" s="19">
        <v>-43.525500000000001</v>
      </c>
      <c r="J159" s="19">
        <v>17.247949999999999</v>
      </c>
      <c r="K159" s="19">
        <v>-1.4107099999999999</v>
      </c>
    </row>
    <row r="160" spans="1:25" x14ac:dyDescent="0.25">
      <c r="A160" s="19">
        <v>153</v>
      </c>
      <c r="B160" s="19">
        <v>0.52888400000000002</v>
      </c>
      <c r="C160" s="19">
        <v>7.208E-3</v>
      </c>
      <c r="D160" s="19">
        <v>2.9331550000000002</v>
      </c>
      <c r="E160" s="19">
        <v>45</v>
      </c>
      <c r="F160" s="19">
        <v>122</v>
      </c>
      <c r="G160" s="19">
        <v>-58.327300000000001</v>
      </c>
      <c r="H160" s="19">
        <v>-38.877800000000001</v>
      </c>
      <c r="I160" s="19">
        <v>-43.295000000000002</v>
      </c>
      <c r="J160" s="19">
        <v>18.115729999999999</v>
      </c>
      <c r="K160" s="19">
        <v>-1.4124300000000001</v>
      </c>
    </row>
    <row r="161" spans="1:25" x14ac:dyDescent="0.25">
      <c r="A161" s="19">
        <v>48</v>
      </c>
      <c r="B161" s="19">
        <v>0.57745999999999997</v>
      </c>
      <c r="C161" s="19">
        <v>6.3759999999999997E-3</v>
      </c>
      <c r="D161" s="19">
        <v>1.063768</v>
      </c>
      <c r="E161" s="19">
        <v>50</v>
      </c>
      <c r="F161" s="19">
        <v>135</v>
      </c>
      <c r="G161" s="19">
        <v>-58.181600000000003</v>
      </c>
      <c r="H161" s="19">
        <v>-39.148899999999998</v>
      </c>
      <c r="I161" s="19">
        <v>-42.386800000000001</v>
      </c>
      <c r="J161" s="19">
        <v>17.5212</v>
      </c>
      <c r="K161" s="19">
        <v>-1.4125300000000001</v>
      </c>
    </row>
    <row r="162" spans="1:25" x14ac:dyDescent="0.25">
      <c r="A162" s="19">
        <v>6</v>
      </c>
      <c r="B162" s="19">
        <v>0.50443400000000005</v>
      </c>
      <c r="C162" s="19">
        <v>7.4110000000000001E-3</v>
      </c>
      <c r="D162" s="19">
        <v>4.0043790000000001</v>
      </c>
      <c r="E162" s="19">
        <v>40</v>
      </c>
      <c r="F162" s="19">
        <v>119</v>
      </c>
      <c r="G162" s="19">
        <v>-58.054900000000004</v>
      </c>
      <c r="H162" s="19">
        <v>-36.880800000000001</v>
      </c>
      <c r="I162" s="19">
        <v>-42.837600000000002</v>
      </c>
      <c r="J162" s="19">
        <v>18.211259999999999</v>
      </c>
      <c r="K162" s="19">
        <v>-1.4131</v>
      </c>
    </row>
    <row r="163" spans="1:25" x14ac:dyDescent="0.25">
      <c r="A163" s="19">
        <v>89</v>
      </c>
      <c r="B163" s="19">
        <v>0.53052100000000002</v>
      </c>
      <c r="C163" s="19">
        <v>7.9729999999999992E-3</v>
      </c>
      <c r="D163" s="19">
        <v>4.7780420000000001</v>
      </c>
      <c r="E163" s="19">
        <v>42</v>
      </c>
      <c r="F163" s="19">
        <v>132</v>
      </c>
      <c r="G163" s="19">
        <v>-58.543799999999997</v>
      </c>
      <c r="H163" s="19">
        <v>-39.037399999999998</v>
      </c>
      <c r="I163" s="19">
        <v>-41.783000000000001</v>
      </c>
      <c r="J163" s="19">
        <v>18.336490000000001</v>
      </c>
      <c r="K163" s="19">
        <v>-1.41337</v>
      </c>
    </row>
    <row r="164" spans="1:25" x14ac:dyDescent="0.25">
      <c r="A164" s="19">
        <v>30</v>
      </c>
      <c r="B164" s="19">
        <v>0.50941999999999998</v>
      </c>
      <c r="C164" s="19">
        <v>5.6810000000000003E-3</v>
      </c>
      <c r="D164" s="19">
        <v>-0.99843000000000004</v>
      </c>
      <c r="E164" s="19">
        <v>51</v>
      </c>
      <c r="F164" s="19">
        <v>121</v>
      </c>
      <c r="G164" s="19">
        <v>-58.574599999999997</v>
      </c>
      <c r="H164" s="19">
        <v>-37.832099999999997</v>
      </c>
      <c r="I164" s="19">
        <v>-43.563699999999997</v>
      </c>
      <c r="J164" s="19">
        <v>16.52169</v>
      </c>
      <c r="K164" s="19">
        <v>-1.41499</v>
      </c>
    </row>
    <row r="165" spans="1:25" x14ac:dyDescent="0.25">
      <c r="A165" s="19">
        <v>112</v>
      </c>
      <c r="B165" s="19">
        <v>0.50829999999999997</v>
      </c>
      <c r="C165" s="19">
        <v>6.097E-3</v>
      </c>
      <c r="D165" s="19">
        <v>0.435531</v>
      </c>
      <c r="E165" s="19">
        <v>48</v>
      </c>
      <c r="F165" s="19">
        <v>119</v>
      </c>
      <c r="G165" s="19">
        <v>-58.926499999999997</v>
      </c>
      <c r="H165" s="19">
        <v>-38.148899999999998</v>
      </c>
      <c r="I165" s="19">
        <v>-43.8185</v>
      </c>
      <c r="J165" s="19">
        <v>17.40971</v>
      </c>
      <c r="K165" s="19">
        <v>-1.41499</v>
      </c>
    </row>
    <row r="166" spans="1:25" x14ac:dyDescent="0.25">
      <c r="A166" s="19">
        <v>139</v>
      </c>
      <c r="B166" s="19">
        <v>0.50228300000000004</v>
      </c>
      <c r="C166" s="19">
        <v>5.5849999999999997E-3</v>
      </c>
      <c r="D166" s="19">
        <v>-1.8380099999999999</v>
      </c>
      <c r="E166" s="19">
        <v>52</v>
      </c>
      <c r="F166" s="19">
        <v>117</v>
      </c>
      <c r="G166" s="19">
        <v>-58.392699999999998</v>
      </c>
      <c r="H166" s="19">
        <v>-37.780500000000004</v>
      </c>
      <c r="I166" s="19">
        <v>-43.121699999999997</v>
      </c>
      <c r="J166" s="19">
        <v>18.344239999999999</v>
      </c>
      <c r="K166" s="19">
        <v>-1.4150799999999999</v>
      </c>
    </row>
    <row r="167" spans="1:25" x14ac:dyDescent="0.25">
      <c r="A167" s="19">
        <v>158</v>
      </c>
      <c r="B167" s="19">
        <v>0.51293500000000003</v>
      </c>
      <c r="C167" s="19">
        <v>7.2570000000000004E-3</v>
      </c>
      <c r="D167" s="19">
        <v>3.5288780000000002</v>
      </c>
      <c r="E167" s="19">
        <v>41</v>
      </c>
      <c r="F167" s="19">
        <v>119</v>
      </c>
      <c r="G167" s="19">
        <v>-58.455100000000002</v>
      </c>
      <c r="H167" s="19">
        <v>-37.908099999999997</v>
      </c>
      <c r="I167" s="19">
        <v>-43.376600000000003</v>
      </c>
      <c r="J167" s="19">
        <v>17.023219999999998</v>
      </c>
      <c r="K167" s="19">
        <v>-1.4150799999999999</v>
      </c>
    </row>
    <row r="168" spans="1:25" x14ac:dyDescent="0.25">
      <c r="A168" s="19">
        <v>17</v>
      </c>
      <c r="B168" s="19">
        <v>0.567492</v>
      </c>
      <c r="C168" s="19">
        <v>5.8539999999999998E-3</v>
      </c>
      <c r="D168" s="19">
        <v>-1.08491</v>
      </c>
      <c r="E168" s="19">
        <v>55</v>
      </c>
      <c r="F168" s="19">
        <v>135</v>
      </c>
      <c r="G168" s="19">
        <v>-58.403100000000002</v>
      </c>
      <c r="H168" s="19">
        <v>-39.267299999999999</v>
      </c>
      <c r="I168" s="19">
        <v>-42.465000000000003</v>
      </c>
      <c r="J168" s="19">
        <v>16.720320000000001</v>
      </c>
      <c r="K168" s="19">
        <v>-1.4153899999999999</v>
      </c>
    </row>
    <row r="169" spans="1:25" x14ac:dyDescent="0.25">
      <c r="A169" s="19">
        <v>179</v>
      </c>
      <c r="B169" s="19">
        <v>0.67567600000000005</v>
      </c>
      <c r="C169" s="19">
        <v>6.149E-3</v>
      </c>
      <c r="D169" s="19">
        <v>-7.2819999999999996E-2</v>
      </c>
      <c r="E169" s="19">
        <v>52</v>
      </c>
      <c r="F169" s="19">
        <v>140</v>
      </c>
      <c r="G169" s="19">
        <v>-58.063200000000002</v>
      </c>
      <c r="H169" s="19">
        <v>-39.436100000000003</v>
      </c>
      <c r="I169" s="19">
        <v>-43.050699999999999</v>
      </c>
      <c r="J169" s="19">
        <v>17.488009999999999</v>
      </c>
      <c r="K169" s="19">
        <v>-1.4155199999999999</v>
      </c>
    </row>
    <row r="170" spans="1:25" x14ac:dyDescent="0.25">
      <c r="A170" s="19">
        <v>74</v>
      </c>
      <c r="B170" s="19">
        <v>0.55048299999999994</v>
      </c>
      <c r="C170" s="19">
        <v>5.8690000000000001E-3</v>
      </c>
      <c r="D170" s="19">
        <v>-0.40533999999999998</v>
      </c>
      <c r="E170" s="19">
        <v>52</v>
      </c>
      <c r="F170" s="19">
        <v>133</v>
      </c>
      <c r="G170" s="19">
        <v>-58.435099999999998</v>
      </c>
      <c r="H170" s="19">
        <v>-38.9572</v>
      </c>
      <c r="I170" s="19">
        <v>-42.4208</v>
      </c>
      <c r="J170" s="19">
        <v>16.636310000000002</v>
      </c>
      <c r="K170" s="19">
        <v>-1.41568</v>
      </c>
    </row>
    <row r="176" spans="1:25" ht="30" x14ac:dyDescent="0.25">
      <c r="A176" t="s">
        <v>61</v>
      </c>
      <c r="N176" t="s">
        <v>413</v>
      </c>
      <c r="O176" t="s">
        <v>414</v>
      </c>
      <c r="P176" t="s">
        <v>415</v>
      </c>
      <c r="Q176" t="s">
        <v>416</v>
      </c>
      <c r="R176" t="s">
        <v>417</v>
      </c>
      <c r="S176" t="s">
        <v>418</v>
      </c>
      <c r="T176" t="s">
        <v>419</v>
      </c>
      <c r="U176" t="s">
        <v>420</v>
      </c>
      <c r="V176" t="s">
        <v>421</v>
      </c>
      <c r="W176" s="19" t="s">
        <v>296</v>
      </c>
      <c r="X176" s="19" t="s">
        <v>297</v>
      </c>
      <c r="Y176" s="19" t="s">
        <v>317</v>
      </c>
    </row>
    <row r="177" spans="1:25" ht="180" x14ac:dyDescent="0.25">
      <c r="A177" s="19" t="s">
        <v>412</v>
      </c>
      <c r="B177" s="19" t="s">
        <v>413</v>
      </c>
      <c r="C177" s="19" t="s">
        <v>414</v>
      </c>
      <c r="D177" s="19" t="s">
        <v>415</v>
      </c>
      <c r="E177" s="19" t="s">
        <v>416</v>
      </c>
      <c r="F177" s="19" t="s">
        <v>417</v>
      </c>
      <c r="G177" s="19" t="s">
        <v>418</v>
      </c>
      <c r="H177" s="19" t="s">
        <v>419</v>
      </c>
      <c r="I177" s="19" t="s">
        <v>420</v>
      </c>
      <c r="J177" s="19" t="s">
        <v>421</v>
      </c>
      <c r="K177" s="19" t="s">
        <v>422</v>
      </c>
      <c r="M177" t="s">
        <v>423</v>
      </c>
      <c r="N177">
        <f t="shared" ref="N177:V177" si="10">AVERAGE(B178:B197)</f>
        <v>1.0199053</v>
      </c>
      <c r="O177">
        <f t="shared" si="10"/>
        <v>9.4590000000000006E-4</v>
      </c>
      <c r="P177">
        <f t="shared" si="10"/>
        <v>-23.874644999999994</v>
      </c>
      <c r="Q177">
        <f t="shared" si="10"/>
        <v>20.149999999999999</v>
      </c>
      <c r="R177">
        <f t="shared" si="10"/>
        <v>216.65</v>
      </c>
      <c r="S177">
        <f t="shared" si="10"/>
        <v>-63.538170000000001</v>
      </c>
      <c r="T177">
        <f t="shared" si="10"/>
        <v>-57.397990000000007</v>
      </c>
      <c r="U177">
        <f t="shared" si="10"/>
        <v>-52.266439999999989</v>
      </c>
      <c r="V177">
        <f t="shared" si="10"/>
        <v>17.074147999999997</v>
      </c>
      <c r="W177" s="19" t="s">
        <v>652</v>
      </c>
      <c r="X177" s="19" t="s">
        <v>636</v>
      </c>
      <c r="Y177" s="19" t="s">
        <v>653</v>
      </c>
    </row>
    <row r="178" spans="1:25" ht="195" x14ac:dyDescent="0.25">
      <c r="A178" s="19">
        <v>7</v>
      </c>
      <c r="B178" s="19">
        <v>1.1243000000000001</v>
      </c>
      <c r="C178" s="77">
        <v>9.4700000000000003E-4</v>
      </c>
      <c r="D178" s="19">
        <v>-23.2376</v>
      </c>
      <c r="E178" s="19">
        <v>21</v>
      </c>
      <c r="F178" s="19">
        <v>232</v>
      </c>
      <c r="G178" s="19">
        <v>-63.449399999999997</v>
      </c>
      <c r="H178" s="19">
        <v>-58.4009</v>
      </c>
      <c r="I178" s="19">
        <v>-52.3596</v>
      </c>
      <c r="J178" s="19">
        <v>17.47776</v>
      </c>
      <c r="K178" s="19">
        <v>-3.6049999999999999E-2</v>
      </c>
      <c r="M178" t="s">
        <v>424</v>
      </c>
      <c r="N178">
        <f t="shared" ref="N178:V178" si="11">_xlfn.STDEV.S(B178:B197)</f>
        <v>9.7965727274013106E-2</v>
      </c>
      <c r="O178">
        <f t="shared" si="11"/>
        <v>5.8661293613600541E-5</v>
      </c>
      <c r="P178">
        <f t="shared" si="11"/>
        <v>1.1366390722212576</v>
      </c>
      <c r="Q178">
        <f t="shared" si="11"/>
        <v>0.81272770088724899</v>
      </c>
      <c r="R178">
        <f t="shared" si="11"/>
        <v>10.839863079345024</v>
      </c>
      <c r="S178">
        <f t="shared" si="11"/>
        <v>0.27010961926790494</v>
      </c>
      <c r="T178">
        <f t="shared" si="11"/>
        <v>0.76677498991418225</v>
      </c>
      <c r="U178">
        <f t="shared" si="11"/>
        <v>0.40426395285623362</v>
      </c>
      <c r="V178">
        <f t="shared" si="11"/>
        <v>0.39531246625263017</v>
      </c>
      <c r="W178" s="19" t="s">
        <v>652</v>
      </c>
      <c r="X178" s="19" t="s">
        <v>637</v>
      </c>
      <c r="Y178" s="19" t="s">
        <v>654</v>
      </c>
    </row>
    <row r="179" spans="1:25" x14ac:dyDescent="0.25">
      <c r="A179" s="19">
        <v>10</v>
      </c>
      <c r="B179" s="19">
        <v>1.1143829999999999</v>
      </c>
      <c r="C179" s="77">
        <v>8.9300000000000002E-4</v>
      </c>
      <c r="D179" s="19">
        <v>-23.96</v>
      </c>
      <c r="E179" s="19">
        <v>20</v>
      </c>
      <c r="F179" s="19">
        <v>231</v>
      </c>
      <c r="G179" s="19">
        <v>-63.374899999999997</v>
      </c>
      <c r="H179" s="19">
        <v>-57.4298</v>
      </c>
      <c r="I179" s="19">
        <v>-52.122999999999998</v>
      </c>
      <c r="J179" s="19">
        <v>16.803059999999999</v>
      </c>
      <c r="K179" s="19">
        <v>-3.6049999999999999E-2</v>
      </c>
    </row>
    <row r="180" spans="1:25" x14ac:dyDescent="0.25">
      <c r="A180" s="19">
        <v>21</v>
      </c>
      <c r="B180" s="19">
        <v>1.1480079999999999</v>
      </c>
      <c r="C180" s="77">
        <v>8.9099999999999997E-4</v>
      </c>
      <c r="D180" s="19">
        <v>-24.676600000000001</v>
      </c>
      <c r="E180" s="19">
        <v>21</v>
      </c>
      <c r="F180" s="19">
        <v>231</v>
      </c>
      <c r="G180" s="19">
        <v>-63.536299999999997</v>
      </c>
      <c r="H180" s="19">
        <v>-57.877200000000002</v>
      </c>
      <c r="I180" s="19">
        <v>-52.019500000000001</v>
      </c>
      <c r="J180" s="19">
        <v>17.3111</v>
      </c>
      <c r="K180" s="19">
        <v>-3.6049999999999999E-2</v>
      </c>
    </row>
    <row r="181" spans="1:25" x14ac:dyDescent="0.25">
      <c r="A181" s="19">
        <v>48</v>
      </c>
      <c r="B181" s="19">
        <v>1.1349370000000001</v>
      </c>
      <c r="C181" s="77">
        <v>8.6399999999999997E-4</v>
      </c>
      <c r="D181" s="19">
        <v>-24.060500000000001</v>
      </c>
      <c r="E181" s="19">
        <v>20</v>
      </c>
      <c r="F181" s="19">
        <v>232</v>
      </c>
      <c r="G181" s="19">
        <v>-63.375900000000001</v>
      </c>
      <c r="H181" s="19">
        <v>-57.835599999999999</v>
      </c>
      <c r="I181" s="19">
        <v>-52.173900000000003</v>
      </c>
      <c r="J181" s="19">
        <v>17.612089999999998</v>
      </c>
      <c r="K181" s="19">
        <v>-3.6049999999999999E-2</v>
      </c>
    </row>
    <row r="182" spans="1:25" x14ac:dyDescent="0.25">
      <c r="A182" s="19">
        <v>54</v>
      </c>
      <c r="B182" s="19">
        <v>0.99999800000000005</v>
      </c>
      <c r="C182" s="77">
        <v>9.9599999999999992E-4</v>
      </c>
      <c r="D182" s="19">
        <v>-24.528600000000001</v>
      </c>
      <c r="E182" s="19">
        <v>21</v>
      </c>
      <c r="F182" s="19">
        <v>222</v>
      </c>
      <c r="G182" s="19">
        <v>-63.621400000000001</v>
      </c>
      <c r="H182" s="19">
        <v>-58.415500000000002</v>
      </c>
      <c r="I182" s="19">
        <v>-52.338999999999999</v>
      </c>
      <c r="J182" s="19">
        <v>16.506170000000001</v>
      </c>
      <c r="K182" s="19">
        <v>-3.6049999999999999E-2</v>
      </c>
    </row>
    <row r="183" spans="1:25" x14ac:dyDescent="0.25">
      <c r="A183" s="19">
        <v>55</v>
      </c>
      <c r="B183" s="19">
        <v>0.99429900000000004</v>
      </c>
      <c r="C183" s="77">
        <v>9.9799999999999997E-4</v>
      </c>
      <c r="D183" s="19">
        <v>-23.060500000000001</v>
      </c>
      <c r="E183" s="19">
        <v>20</v>
      </c>
      <c r="F183" s="19">
        <v>210</v>
      </c>
      <c r="G183" s="19">
        <v>-63.350700000000003</v>
      </c>
      <c r="H183" s="19">
        <v>-57.107399999999998</v>
      </c>
      <c r="I183" s="19">
        <v>-52.264099999999999</v>
      </c>
      <c r="J183" s="19">
        <v>17.497430000000001</v>
      </c>
      <c r="K183" s="19">
        <v>-3.6049999999999999E-2</v>
      </c>
    </row>
    <row r="184" spans="1:25" x14ac:dyDescent="0.25">
      <c r="A184" s="19">
        <v>64</v>
      </c>
      <c r="B184" s="19">
        <v>0.86095100000000002</v>
      </c>
      <c r="C184" s="77">
        <v>9.7900000000000005E-4</v>
      </c>
      <c r="D184" s="19">
        <v>-24.854500000000002</v>
      </c>
      <c r="E184" s="19">
        <v>20</v>
      </c>
      <c r="F184" s="19">
        <v>203</v>
      </c>
      <c r="G184" s="19">
        <v>-63.911999999999999</v>
      </c>
      <c r="H184" s="19">
        <v>-58.2121</v>
      </c>
      <c r="I184" s="19">
        <v>-52.828299999999999</v>
      </c>
      <c r="J184" s="19">
        <v>17.007110000000001</v>
      </c>
      <c r="K184" s="19">
        <v>-3.6049999999999999E-2</v>
      </c>
    </row>
    <row r="185" spans="1:25" x14ac:dyDescent="0.25">
      <c r="A185" s="19">
        <v>65</v>
      </c>
      <c r="B185" s="19">
        <v>0.894621</v>
      </c>
      <c r="C185" s="77">
        <v>9.9700000000000006E-4</v>
      </c>
      <c r="D185" s="19">
        <v>-21.508099999999999</v>
      </c>
      <c r="E185" s="19">
        <v>20</v>
      </c>
      <c r="F185" s="19">
        <v>204</v>
      </c>
      <c r="G185" s="19">
        <v>-63.589100000000002</v>
      </c>
      <c r="H185" s="19">
        <v>-57.785800000000002</v>
      </c>
      <c r="I185" s="19">
        <v>-52.222900000000003</v>
      </c>
      <c r="J185" s="19">
        <v>17.368130000000001</v>
      </c>
      <c r="K185" s="19">
        <v>-3.6049999999999999E-2</v>
      </c>
    </row>
    <row r="186" spans="1:25" x14ac:dyDescent="0.25">
      <c r="A186" s="19">
        <v>71</v>
      </c>
      <c r="B186" s="19">
        <v>0.79805499999999996</v>
      </c>
      <c r="C186" s="77">
        <v>8.0000000000000004E-4</v>
      </c>
      <c r="D186" s="19">
        <v>-23.684000000000001</v>
      </c>
      <c r="E186" s="19">
        <v>18</v>
      </c>
      <c r="F186" s="19">
        <v>205</v>
      </c>
      <c r="G186" s="19">
        <v>-63.060299999999998</v>
      </c>
      <c r="H186" s="19">
        <v>-57.6</v>
      </c>
      <c r="I186" s="19">
        <v>-51.455599999999997</v>
      </c>
      <c r="J186" s="19">
        <v>17.207360000000001</v>
      </c>
      <c r="K186" s="19">
        <v>-3.6049999999999999E-2</v>
      </c>
    </row>
    <row r="187" spans="1:25" x14ac:dyDescent="0.25">
      <c r="A187" s="19">
        <v>76</v>
      </c>
      <c r="B187" s="19">
        <v>1.000038</v>
      </c>
      <c r="C187" s="77">
        <v>9.7799999999999992E-4</v>
      </c>
      <c r="D187" s="19">
        <v>-24.2593</v>
      </c>
      <c r="E187" s="19">
        <v>20</v>
      </c>
      <c r="F187" s="19">
        <v>208</v>
      </c>
      <c r="G187" s="19">
        <v>-63.915500000000002</v>
      </c>
      <c r="H187" s="19">
        <v>-56.746000000000002</v>
      </c>
      <c r="I187" s="19">
        <v>-52.833100000000002</v>
      </c>
      <c r="J187" s="19">
        <v>16.686720000000001</v>
      </c>
      <c r="K187" s="19">
        <v>-3.6049999999999999E-2</v>
      </c>
    </row>
    <row r="188" spans="1:25" x14ac:dyDescent="0.25">
      <c r="A188" s="19">
        <v>80</v>
      </c>
      <c r="B188" s="19">
        <v>1.0862099999999999</v>
      </c>
      <c r="C188" s="77">
        <v>9.9400000000000009E-4</v>
      </c>
      <c r="D188" s="19">
        <v>-23.469200000000001</v>
      </c>
      <c r="E188" s="19">
        <v>20</v>
      </c>
      <c r="F188" s="19">
        <v>215</v>
      </c>
      <c r="G188" s="19">
        <v>-63.763599999999997</v>
      </c>
      <c r="H188" s="19">
        <v>-56.1434</v>
      </c>
      <c r="I188" s="19">
        <v>-52.574100000000001</v>
      </c>
      <c r="J188" s="19">
        <v>17.08061</v>
      </c>
      <c r="K188" s="19">
        <v>-3.6049999999999999E-2</v>
      </c>
    </row>
    <row r="189" spans="1:25" x14ac:dyDescent="0.25">
      <c r="A189" s="19">
        <v>86</v>
      </c>
      <c r="B189" s="19">
        <v>1.0761259999999999</v>
      </c>
      <c r="C189" s="77">
        <v>9.9099999999999991E-4</v>
      </c>
      <c r="D189" s="19">
        <v>-23.175799999999999</v>
      </c>
      <c r="E189" s="19">
        <v>21</v>
      </c>
      <c r="F189" s="19">
        <v>224</v>
      </c>
      <c r="G189" s="19">
        <v>-63.773800000000001</v>
      </c>
      <c r="H189" s="19">
        <v>-57.167400000000001</v>
      </c>
      <c r="I189" s="19">
        <v>-52.101100000000002</v>
      </c>
      <c r="J189" s="19">
        <v>16.65082</v>
      </c>
      <c r="K189" s="19">
        <v>-3.6049999999999999E-2</v>
      </c>
    </row>
    <row r="190" spans="1:25" x14ac:dyDescent="0.25">
      <c r="A190" s="19">
        <v>101</v>
      </c>
      <c r="B190" s="19">
        <v>0.94619600000000004</v>
      </c>
      <c r="C190" s="77">
        <v>9.9500000000000001E-4</v>
      </c>
      <c r="D190" s="19">
        <v>-24.4358</v>
      </c>
      <c r="E190" s="19">
        <v>20</v>
      </c>
      <c r="F190" s="19">
        <v>203</v>
      </c>
      <c r="G190" s="19">
        <v>-63.886000000000003</v>
      </c>
      <c r="H190" s="19">
        <v>-56.8401</v>
      </c>
      <c r="I190" s="19">
        <v>-52.813899999999997</v>
      </c>
      <c r="J190" s="19">
        <v>16.396609999999999</v>
      </c>
      <c r="K190" s="19">
        <v>-3.6049999999999999E-2</v>
      </c>
    </row>
    <row r="191" spans="1:25" x14ac:dyDescent="0.25">
      <c r="A191" s="19">
        <v>114</v>
      </c>
      <c r="B191" s="19">
        <v>0.92297099999999999</v>
      </c>
      <c r="C191" s="77">
        <v>8.8999999999999995E-4</v>
      </c>
      <c r="D191" s="19">
        <v>-24.877800000000001</v>
      </c>
      <c r="E191" s="19">
        <v>20</v>
      </c>
      <c r="F191" s="19">
        <v>203</v>
      </c>
      <c r="G191" s="19">
        <v>-63.272300000000001</v>
      </c>
      <c r="H191" s="19">
        <v>-57.683399999999999</v>
      </c>
      <c r="I191" s="19">
        <v>-51.898200000000003</v>
      </c>
      <c r="J191" s="19">
        <v>17.347770000000001</v>
      </c>
      <c r="K191" s="19">
        <v>-3.6049999999999999E-2</v>
      </c>
    </row>
    <row r="192" spans="1:25" x14ac:dyDescent="0.25">
      <c r="A192" s="19">
        <v>116</v>
      </c>
      <c r="B192" s="19">
        <v>1.0214430000000001</v>
      </c>
      <c r="C192" s="77">
        <v>9.8200000000000002E-4</v>
      </c>
      <c r="D192" s="19">
        <v>-24.618500000000001</v>
      </c>
      <c r="E192" s="19">
        <v>21</v>
      </c>
      <c r="F192" s="19">
        <v>227</v>
      </c>
      <c r="G192" s="19">
        <v>-63.2258</v>
      </c>
      <c r="H192" s="19">
        <v>-58.071100000000001</v>
      </c>
      <c r="I192" s="19">
        <v>-52.0443</v>
      </c>
      <c r="J192" s="19">
        <v>17.47823</v>
      </c>
      <c r="K192" s="19">
        <v>-3.6049999999999999E-2</v>
      </c>
    </row>
    <row r="193" spans="1:25" x14ac:dyDescent="0.25">
      <c r="A193" s="19">
        <v>117</v>
      </c>
      <c r="B193" s="19">
        <v>0.961951</v>
      </c>
      <c r="C193" s="77">
        <v>9.859999999999999E-4</v>
      </c>
      <c r="D193" s="19">
        <v>-24.919799999999999</v>
      </c>
      <c r="E193" s="19">
        <v>21</v>
      </c>
      <c r="F193" s="19">
        <v>208</v>
      </c>
      <c r="G193" s="19">
        <v>-63.732399999999998</v>
      </c>
      <c r="H193" s="19">
        <v>-57.108199999999997</v>
      </c>
      <c r="I193" s="19">
        <v>-52.301699999999997</v>
      </c>
      <c r="J193" s="19">
        <v>17.266940000000002</v>
      </c>
      <c r="K193" s="19">
        <v>-3.6049999999999999E-2</v>
      </c>
    </row>
    <row r="194" spans="1:25" x14ac:dyDescent="0.25">
      <c r="A194" s="19">
        <v>124</v>
      </c>
      <c r="B194" s="19">
        <v>1.101234</v>
      </c>
      <c r="C194" s="77">
        <v>8.6700000000000004E-4</v>
      </c>
      <c r="D194" s="19">
        <v>-24.956600000000002</v>
      </c>
      <c r="E194" s="19">
        <v>19</v>
      </c>
      <c r="F194" s="19">
        <v>214</v>
      </c>
      <c r="G194" s="19">
        <v>-63.734999999999999</v>
      </c>
      <c r="H194" s="19">
        <v>-56.053400000000003</v>
      </c>
      <c r="I194" s="19">
        <v>-52.665900000000001</v>
      </c>
      <c r="J194" s="19">
        <v>17.254709999999999</v>
      </c>
      <c r="K194" s="19">
        <v>-3.6049999999999999E-2</v>
      </c>
    </row>
    <row r="195" spans="1:25" x14ac:dyDescent="0.25">
      <c r="A195" s="19">
        <v>161</v>
      </c>
      <c r="B195" s="19">
        <v>1.094403</v>
      </c>
      <c r="C195" s="77">
        <v>9.2299999999999999E-4</v>
      </c>
      <c r="D195" s="19">
        <v>-24.051200000000001</v>
      </c>
      <c r="E195" s="19">
        <v>20</v>
      </c>
      <c r="F195" s="19">
        <v>226</v>
      </c>
      <c r="G195" s="19">
        <v>-63.769599999999997</v>
      </c>
      <c r="H195" s="19">
        <v>-57.757599999999996</v>
      </c>
      <c r="I195" s="19">
        <v>-52.707799999999999</v>
      </c>
      <c r="J195" s="19">
        <v>16.258520000000001</v>
      </c>
      <c r="K195" s="19">
        <v>-3.6049999999999999E-2</v>
      </c>
    </row>
    <row r="196" spans="1:25" x14ac:dyDescent="0.25">
      <c r="A196" s="19">
        <v>164</v>
      </c>
      <c r="B196" s="19">
        <v>1.070981</v>
      </c>
      <c r="C196" s="77">
        <v>9.8999999999999999E-4</v>
      </c>
      <c r="D196" s="19">
        <v>-24.508400000000002</v>
      </c>
      <c r="E196" s="19">
        <v>21</v>
      </c>
      <c r="F196" s="19">
        <v>215</v>
      </c>
      <c r="G196" s="19">
        <v>-63.089700000000001</v>
      </c>
      <c r="H196" s="19">
        <v>-55.7956</v>
      </c>
      <c r="I196" s="19">
        <v>-51.407600000000002</v>
      </c>
      <c r="J196" s="19">
        <v>17.07423</v>
      </c>
      <c r="K196" s="19">
        <v>-3.6049999999999999E-2</v>
      </c>
    </row>
    <row r="197" spans="1:25" x14ac:dyDescent="0.25">
      <c r="A197" s="19">
        <v>184</v>
      </c>
      <c r="B197" s="19">
        <v>1.0470010000000001</v>
      </c>
      <c r="C197" s="77">
        <v>9.5699999999999995E-4</v>
      </c>
      <c r="D197" s="19">
        <v>-20.650099999999998</v>
      </c>
      <c r="E197" s="19">
        <v>19</v>
      </c>
      <c r="F197" s="19">
        <v>220</v>
      </c>
      <c r="G197" s="19">
        <v>-63.329700000000003</v>
      </c>
      <c r="H197" s="19">
        <v>-57.929299999999998</v>
      </c>
      <c r="I197" s="19">
        <v>-52.1952</v>
      </c>
      <c r="J197" s="19">
        <v>17.197590000000002</v>
      </c>
      <c r="K197" s="19">
        <v>-3.6049999999999999E-2</v>
      </c>
    </row>
    <row r="203" spans="1:25" ht="30" x14ac:dyDescent="0.25">
      <c r="A203" t="s">
        <v>64</v>
      </c>
      <c r="M203" s="19"/>
      <c r="N203" s="19" t="s">
        <v>413</v>
      </c>
      <c r="O203" s="19" t="s">
        <v>414</v>
      </c>
      <c r="P203" s="19" t="s">
        <v>415</v>
      </c>
      <c r="Q203" s="19" t="s">
        <v>416</v>
      </c>
      <c r="R203" s="19" t="s">
        <v>417</v>
      </c>
      <c r="S203" s="19" t="s">
        <v>418</v>
      </c>
      <c r="T203" s="19" t="s">
        <v>419</v>
      </c>
      <c r="U203" s="19" t="s">
        <v>420</v>
      </c>
      <c r="V203" s="19" t="s">
        <v>421</v>
      </c>
      <c r="W203" s="19" t="s">
        <v>296</v>
      </c>
      <c r="X203" s="19" t="s">
        <v>297</v>
      </c>
      <c r="Y203" s="19" t="s">
        <v>317</v>
      </c>
    </row>
    <row r="204" spans="1:25" ht="180" x14ac:dyDescent="0.25">
      <c r="A204" s="19" t="s">
        <v>412</v>
      </c>
      <c r="B204" s="19" t="s">
        <v>413</v>
      </c>
      <c r="C204" s="19" t="s">
        <v>414</v>
      </c>
      <c r="D204" s="19" t="s">
        <v>415</v>
      </c>
      <c r="E204" s="19" t="s">
        <v>416</v>
      </c>
      <c r="F204" s="19" t="s">
        <v>417</v>
      </c>
      <c r="G204" s="19" t="s">
        <v>418</v>
      </c>
      <c r="H204" s="19" t="s">
        <v>419</v>
      </c>
      <c r="I204" s="19" t="s">
        <v>420</v>
      </c>
      <c r="J204" s="19" t="s">
        <v>421</v>
      </c>
      <c r="K204" s="19" t="s">
        <v>422</v>
      </c>
      <c r="M204" s="19" t="s">
        <v>423</v>
      </c>
      <c r="N204" s="19">
        <f>AVERAGE(B205:B224)</f>
        <v>1.1812940000000001</v>
      </c>
      <c r="O204" s="19">
        <f>AVERAGE(C205:C224)</f>
        <v>5.3910000000000008E-3</v>
      </c>
      <c r="P204" s="19">
        <f>AVERAGE(D205:D224)</f>
        <v>-1.2998011999999999</v>
      </c>
      <c r="Q204" s="19">
        <f>AVERAGE(E205:E224)</f>
        <v>16.899999999999999</v>
      </c>
      <c r="R204" s="19">
        <f>AVERAGE(F205:F223)</f>
        <v>221.4</v>
      </c>
      <c r="S204" s="19">
        <f>AVERAGE(G205:G223)</f>
        <v>-56.774419999999999</v>
      </c>
      <c r="T204" s="19">
        <f>AVERAGE(H205:H223)</f>
        <v>-38.644370000000002</v>
      </c>
      <c r="U204" s="19">
        <f>AVERAGE(I205:I223)</f>
        <v>-40.824680000000001</v>
      </c>
      <c r="V204" s="19">
        <f>AVERAGE(J205:J223)</f>
        <v>16.315859999999997</v>
      </c>
      <c r="W204" s="19" t="s">
        <v>655</v>
      </c>
      <c r="X204" s="19" t="s">
        <v>636</v>
      </c>
      <c r="Y204" s="19" t="s">
        <v>656</v>
      </c>
    </row>
    <row r="205" spans="1:25" ht="195" x14ac:dyDescent="0.25">
      <c r="A205" s="19">
        <v>8</v>
      </c>
      <c r="B205" s="19">
        <v>1.260211</v>
      </c>
      <c r="C205" s="19">
        <v>1.1310000000000001E-3</v>
      </c>
      <c r="D205" s="19">
        <v>-1.97536</v>
      </c>
      <c r="E205" s="19">
        <v>13</v>
      </c>
      <c r="F205" s="19">
        <v>70</v>
      </c>
      <c r="G205" s="19">
        <v>-56.3889</v>
      </c>
      <c r="H205" s="19">
        <v>-36.548999999999999</v>
      </c>
      <c r="I205" s="19">
        <v>-40.642699999999998</v>
      </c>
      <c r="J205" s="19">
        <v>15.74461</v>
      </c>
      <c r="K205" s="19">
        <v>-0.26123000000000002</v>
      </c>
      <c r="M205" s="19" t="s">
        <v>424</v>
      </c>
      <c r="N205" s="19">
        <f>_xlfn.STDEV.S(B205:B224)</f>
        <v>0.31873410941654051</v>
      </c>
      <c r="O205" s="19">
        <f>_xlfn.STDEV.S(C205:C224)</f>
        <v>2.8976132323766798E-3</v>
      </c>
      <c r="P205" s="19">
        <f>_xlfn.STDEV.S(D205:D224)</f>
        <v>11.530056821292751</v>
      </c>
      <c r="Q205" s="19">
        <f>_xlfn.STDEV.S(E205:E224)</f>
        <v>16.722905117100783</v>
      </c>
      <c r="R205" s="19">
        <f>_xlfn.STDEV.S(F205:F223)</f>
        <v>79.434389418073991</v>
      </c>
      <c r="S205" s="19">
        <f>_xlfn.STDEV.S(G205:G223)</f>
        <v>0.58081481615629027</v>
      </c>
      <c r="T205" s="19">
        <f>_xlfn.STDEV.S(H205:H223)</f>
        <v>1.457454200576394</v>
      </c>
      <c r="U205" s="19">
        <f>_xlfn.STDEV.S(I205:I223)</f>
        <v>0.7017546323324132</v>
      </c>
      <c r="V205" s="19">
        <f>_xlfn.STDEV.S(J205:J223)</f>
        <v>0.89181078343135278</v>
      </c>
      <c r="W205" s="19" t="s">
        <v>655</v>
      </c>
      <c r="X205" s="19" t="s">
        <v>637</v>
      </c>
      <c r="Y205" s="19" t="s">
        <v>657</v>
      </c>
    </row>
    <row r="206" spans="1:25" x14ac:dyDescent="0.25">
      <c r="A206" s="19">
        <v>99</v>
      </c>
      <c r="B206" s="19">
        <v>0.77590599999999998</v>
      </c>
      <c r="C206" s="19">
        <v>9.2339999999999992E-3</v>
      </c>
      <c r="D206" s="19">
        <v>9.7556309999999993</v>
      </c>
      <c r="E206" s="19">
        <v>4</v>
      </c>
      <c r="F206" s="19">
        <v>152</v>
      </c>
      <c r="G206" s="19">
        <v>-56.068100000000001</v>
      </c>
      <c r="H206" s="19">
        <v>-36.468200000000003</v>
      </c>
      <c r="I206" s="19">
        <v>-40.0379</v>
      </c>
      <c r="J206" s="19">
        <v>17.189399999999999</v>
      </c>
      <c r="K206" s="19">
        <v>-0.39018999999999998</v>
      </c>
    </row>
    <row r="207" spans="1:25" x14ac:dyDescent="0.25">
      <c r="A207" s="19">
        <v>94</v>
      </c>
      <c r="B207" s="19">
        <v>0.61976299999999995</v>
      </c>
      <c r="C207" s="19">
        <v>8.7250000000000001E-3</v>
      </c>
      <c r="D207" s="19">
        <v>9.1153720000000007</v>
      </c>
      <c r="E207" s="19">
        <v>7</v>
      </c>
      <c r="F207" s="19">
        <v>152</v>
      </c>
      <c r="G207" s="19">
        <v>-56.451000000000001</v>
      </c>
      <c r="H207" s="19">
        <v>-39.086300000000001</v>
      </c>
      <c r="I207" s="19">
        <v>-39.990299999999998</v>
      </c>
      <c r="J207" s="19">
        <v>15.85252</v>
      </c>
      <c r="K207" s="19">
        <v>-0.39041999999999999</v>
      </c>
    </row>
    <row r="208" spans="1:25" x14ac:dyDescent="0.25">
      <c r="A208" s="19">
        <v>80</v>
      </c>
      <c r="B208" s="19">
        <v>1.379807</v>
      </c>
      <c r="C208" s="19">
        <v>7.8379999999999995E-3</v>
      </c>
      <c r="D208" s="19">
        <v>12.93329</v>
      </c>
      <c r="E208" s="19">
        <v>0</v>
      </c>
      <c r="F208" s="19">
        <v>209</v>
      </c>
      <c r="G208" s="19">
        <v>-57.0764</v>
      </c>
      <c r="H208" s="19">
        <v>-39.101999999999997</v>
      </c>
      <c r="I208" s="19">
        <v>-40.680700000000002</v>
      </c>
      <c r="J208" s="19">
        <v>16.313269999999999</v>
      </c>
      <c r="K208" s="19">
        <v>-0.41041</v>
      </c>
    </row>
    <row r="209" spans="1:22" x14ac:dyDescent="0.25">
      <c r="A209" s="19">
        <v>28</v>
      </c>
      <c r="B209" s="19">
        <v>0.86640700000000004</v>
      </c>
      <c r="C209" s="19">
        <v>8.4189999999999994E-3</v>
      </c>
      <c r="D209" s="19">
        <v>5.870825</v>
      </c>
      <c r="E209" s="19">
        <v>7</v>
      </c>
      <c r="F209" s="19">
        <v>197</v>
      </c>
      <c r="G209" s="19">
        <v>-57.0122</v>
      </c>
      <c r="H209" s="19">
        <v>-38.164000000000001</v>
      </c>
      <c r="I209" s="19">
        <v>-41.871400000000001</v>
      </c>
      <c r="J209" s="19">
        <v>15.575979999999999</v>
      </c>
      <c r="K209" s="19">
        <v>-0.45901999999999998</v>
      </c>
    </row>
    <row r="210" spans="1:22" x14ac:dyDescent="0.25">
      <c r="A210" s="19">
        <v>81</v>
      </c>
      <c r="B210" s="19">
        <v>1.3030040000000001</v>
      </c>
      <c r="C210" s="19">
        <v>4.1679999999999998E-3</v>
      </c>
      <c r="D210" s="19">
        <v>-13.5015</v>
      </c>
      <c r="E210" s="19">
        <v>40</v>
      </c>
      <c r="F210" s="19">
        <v>261</v>
      </c>
      <c r="G210" s="19">
        <v>-56.221600000000002</v>
      </c>
      <c r="H210" s="19">
        <v>-37.676299999999998</v>
      </c>
      <c r="I210" s="19">
        <v>-39.845700000000001</v>
      </c>
      <c r="J210" s="19">
        <v>17.149239999999999</v>
      </c>
      <c r="K210" s="19">
        <v>-0.46121000000000001</v>
      </c>
    </row>
    <row r="211" spans="1:22" x14ac:dyDescent="0.25">
      <c r="A211" s="19">
        <v>38</v>
      </c>
      <c r="B211" s="19">
        <v>1.242874</v>
      </c>
      <c r="C211" s="19">
        <v>3.5660000000000002E-3</v>
      </c>
      <c r="D211" s="19">
        <v>-8.1601300000000005</v>
      </c>
      <c r="E211" s="19">
        <v>28</v>
      </c>
      <c r="F211" s="19">
        <v>264</v>
      </c>
      <c r="G211" s="19">
        <v>-57.515999999999998</v>
      </c>
      <c r="H211" s="19">
        <v>-40.488599999999998</v>
      </c>
      <c r="I211" s="19">
        <v>-41.168399999999998</v>
      </c>
      <c r="J211" s="19">
        <v>15.91778</v>
      </c>
      <c r="K211" s="19">
        <v>-0.47403000000000001</v>
      </c>
    </row>
    <row r="212" spans="1:22" x14ac:dyDescent="0.25">
      <c r="A212" s="19">
        <v>58</v>
      </c>
      <c r="B212" s="19">
        <v>1.5229520000000001</v>
      </c>
      <c r="C212" s="19">
        <v>4.0410000000000003E-3</v>
      </c>
      <c r="D212" s="19">
        <v>-21.6113</v>
      </c>
      <c r="E212" s="19">
        <v>49</v>
      </c>
      <c r="F212" s="19">
        <v>306</v>
      </c>
      <c r="G212" s="19">
        <v>-56.789200000000001</v>
      </c>
      <c r="H212" s="19">
        <v>-39.445900000000002</v>
      </c>
      <c r="I212" s="19">
        <v>-41.303600000000003</v>
      </c>
      <c r="J212" s="19">
        <v>17.038139999999999</v>
      </c>
      <c r="K212" s="19">
        <v>-0.49020000000000002</v>
      </c>
    </row>
    <row r="213" spans="1:22" x14ac:dyDescent="0.25">
      <c r="A213" s="19">
        <v>98</v>
      </c>
      <c r="B213" s="19">
        <v>1.280267</v>
      </c>
      <c r="C213" s="19">
        <v>4.3299999999999996E-3</v>
      </c>
      <c r="D213" s="19">
        <v>4.3172600000000001</v>
      </c>
      <c r="E213" s="19">
        <v>4</v>
      </c>
      <c r="F213" s="19">
        <v>294</v>
      </c>
      <c r="G213" s="19">
        <v>-57.836599999999997</v>
      </c>
      <c r="H213" s="19">
        <v>-40.734299999999998</v>
      </c>
      <c r="I213" s="19">
        <v>-41.580199999999998</v>
      </c>
      <c r="J213" s="19">
        <v>14.7925</v>
      </c>
      <c r="K213" s="19">
        <v>-0.49099999999999999</v>
      </c>
    </row>
    <row r="214" spans="1:22" x14ac:dyDescent="0.25">
      <c r="A214" s="19">
        <v>97</v>
      </c>
      <c r="B214" s="19">
        <v>1.5617490000000001</v>
      </c>
      <c r="C214" s="19">
        <v>2.4580000000000001E-3</v>
      </c>
      <c r="D214" s="19">
        <v>-9.7421000000000006</v>
      </c>
      <c r="E214" s="19">
        <v>17</v>
      </c>
      <c r="F214" s="19">
        <v>309</v>
      </c>
      <c r="G214" s="19">
        <v>-56.3842</v>
      </c>
      <c r="H214" s="19">
        <v>-38.729100000000003</v>
      </c>
      <c r="I214" s="19">
        <v>-41.125900000000001</v>
      </c>
      <c r="J214" s="19">
        <v>17.585159999999998</v>
      </c>
      <c r="K214" s="19">
        <v>-0.49168000000000001</v>
      </c>
    </row>
    <row r="219" spans="1:22" x14ac:dyDescent="0.25">
      <c r="N219" t="s">
        <v>413</v>
      </c>
      <c r="O219" t="s">
        <v>414</v>
      </c>
      <c r="P219" t="s">
        <v>415</v>
      </c>
      <c r="Q219" t="s">
        <v>416</v>
      </c>
      <c r="R219" t="s">
        <v>417</v>
      </c>
      <c r="S219" t="s">
        <v>418</v>
      </c>
      <c r="T219" t="s">
        <v>419</v>
      </c>
      <c r="U219" t="s">
        <v>420</v>
      </c>
      <c r="V219" t="s">
        <v>421</v>
      </c>
    </row>
    <row r="220" spans="1:22" x14ac:dyDescent="0.25">
      <c r="A220" t="s">
        <v>58</v>
      </c>
      <c r="B220" t="s">
        <v>413</v>
      </c>
      <c r="C220" t="s">
        <v>414</v>
      </c>
      <c r="D220" t="s">
        <v>415</v>
      </c>
      <c r="E220" t="s">
        <v>416</v>
      </c>
      <c r="F220" t="s">
        <v>417</v>
      </c>
      <c r="G220" t="s">
        <v>418</v>
      </c>
      <c r="H220" t="s">
        <v>419</v>
      </c>
      <c r="I220" t="s">
        <v>420</v>
      </c>
      <c r="J220" t="s">
        <v>421</v>
      </c>
      <c r="K220" t="s">
        <v>422</v>
      </c>
      <c r="M220" t="s">
        <v>423</v>
      </c>
      <c r="N220" s="42">
        <v>1.7760089999999999</v>
      </c>
      <c r="O220" s="42">
        <v>5.8430000000000001E-3</v>
      </c>
      <c r="P220" s="42">
        <v>-3.4487399999999999</v>
      </c>
      <c r="Q220" s="42">
        <v>52</v>
      </c>
      <c r="R220" s="42">
        <v>186</v>
      </c>
      <c r="S220" s="42">
        <v>-73.482100000000003</v>
      </c>
      <c r="T220" s="42">
        <v>-54.936900000000001</v>
      </c>
      <c r="U220" s="42">
        <v>-64.403700000000001</v>
      </c>
      <c r="V220" s="42">
        <v>7.0663130000000001</v>
      </c>
    </row>
    <row r="221" spans="1:22" x14ac:dyDescent="0.25">
      <c r="M221" t="s">
        <v>424</v>
      </c>
      <c r="N221">
        <v>0.05</v>
      </c>
      <c r="O221">
        <v>5.0000000000000001E-4</v>
      </c>
      <c r="P221">
        <v>2</v>
      </c>
      <c r="Q221">
        <v>3</v>
      </c>
      <c r="R221">
        <v>5</v>
      </c>
      <c r="S221">
        <v>0.5</v>
      </c>
      <c r="T221">
        <v>1</v>
      </c>
      <c r="U221">
        <v>0.5</v>
      </c>
      <c r="V221">
        <v>0.5</v>
      </c>
    </row>
    <row r="224" spans="1:22" x14ac:dyDescent="0.25">
      <c r="I224" t="s">
        <v>313</v>
      </c>
    </row>
    <row r="225" spans="1:22" x14ac:dyDescent="0.25">
      <c r="I225" s="45"/>
    </row>
    <row r="235" spans="1:22" x14ac:dyDescent="0.25">
      <c r="N235" t="s">
        <v>413</v>
      </c>
      <c r="O235" t="s">
        <v>414</v>
      </c>
      <c r="P235" t="s">
        <v>415</v>
      </c>
      <c r="Q235" t="s">
        <v>416</v>
      </c>
      <c r="R235" t="s">
        <v>417</v>
      </c>
      <c r="S235" t="s">
        <v>418</v>
      </c>
      <c r="T235" t="s">
        <v>419</v>
      </c>
      <c r="U235" t="s">
        <v>420</v>
      </c>
      <c r="V235" t="s">
        <v>421</v>
      </c>
    </row>
    <row r="236" spans="1:22" x14ac:dyDescent="0.25">
      <c r="A236" t="s">
        <v>49</v>
      </c>
      <c r="B236" t="s">
        <v>413</v>
      </c>
      <c r="C236" t="s">
        <v>414</v>
      </c>
      <c r="D236" t="s">
        <v>415</v>
      </c>
      <c r="E236" t="s">
        <v>416</v>
      </c>
      <c r="F236" t="s">
        <v>417</v>
      </c>
      <c r="G236" t="s">
        <v>418</v>
      </c>
      <c r="H236" t="s">
        <v>419</v>
      </c>
      <c r="I236" t="s">
        <v>420</v>
      </c>
      <c r="J236" t="s">
        <v>421</v>
      </c>
      <c r="K236" t="s">
        <v>422</v>
      </c>
      <c r="M236" t="s">
        <v>423</v>
      </c>
      <c r="N236" s="42">
        <v>3.0587629999999999</v>
      </c>
      <c r="O236" s="42">
        <v>2.6099000000000001E-2</v>
      </c>
      <c r="P236" s="42">
        <v>7.3634269999999997</v>
      </c>
      <c r="Q236" s="42">
        <v>4</v>
      </c>
      <c r="R236" s="42">
        <v>208</v>
      </c>
      <c r="S236" s="42">
        <v>-64.944599999999994</v>
      </c>
      <c r="T236" s="42">
        <v>-44.575699999999998</v>
      </c>
      <c r="U236" s="42">
        <v>-51.088099999999997</v>
      </c>
      <c r="V236" s="42">
        <v>-0.41693999999999998</v>
      </c>
    </row>
    <row r="237" spans="1:22" x14ac:dyDescent="0.25">
      <c r="M237" t="s">
        <v>424</v>
      </c>
      <c r="N237">
        <v>0.05</v>
      </c>
      <c r="O237">
        <v>5.0000000000000001E-4</v>
      </c>
      <c r="P237">
        <v>2</v>
      </c>
      <c r="Q237">
        <v>3</v>
      </c>
      <c r="R237">
        <v>5</v>
      </c>
      <c r="S237">
        <v>0.5</v>
      </c>
      <c r="T237">
        <v>1</v>
      </c>
      <c r="U237">
        <v>0.5</v>
      </c>
      <c r="V237">
        <v>0.5</v>
      </c>
    </row>
    <row r="238" spans="1:22" x14ac:dyDescent="0.25">
      <c r="J238" s="9"/>
      <c r="L238" s="9"/>
      <c r="N238" s="9"/>
      <c r="P238" s="9"/>
      <c r="R238" s="9"/>
    </row>
    <row r="251" spans="1:22" x14ac:dyDescent="0.25">
      <c r="N251" t="s">
        <v>413</v>
      </c>
      <c r="O251" t="s">
        <v>414</v>
      </c>
      <c r="P251" t="s">
        <v>415</v>
      </c>
      <c r="Q251" t="s">
        <v>416</v>
      </c>
      <c r="R251" t="s">
        <v>417</v>
      </c>
      <c r="S251" t="s">
        <v>418</v>
      </c>
      <c r="T251" t="s">
        <v>419</v>
      </c>
      <c r="U251" t="s">
        <v>420</v>
      </c>
      <c r="V251" t="s">
        <v>421</v>
      </c>
    </row>
    <row r="252" spans="1:22" x14ac:dyDescent="0.25">
      <c r="A252" t="s">
        <v>52</v>
      </c>
      <c r="B252" t="s">
        <v>413</v>
      </c>
      <c r="C252" t="s">
        <v>414</v>
      </c>
      <c r="D252" t="s">
        <v>415</v>
      </c>
      <c r="E252" t="s">
        <v>416</v>
      </c>
      <c r="F252" t="s">
        <v>417</v>
      </c>
      <c r="G252" t="s">
        <v>418</v>
      </c>
      <c r="H252" t="s">
        <v>419</v>
      </c>
      <c r="I252" t="s">
        <v>420</v>
      </c>
      <c r="J252" t="s">
        <v>421</v>
      </c>
      <c r="K252" t="s">
        <v>422</v>
      </c>
      <c r="M252" t="s">
        <v>423</v>
      </c>
      <c r="N252" s="42">
        <v>2.5186799999999998</v>
      </c>
      <c r="O252" s="42">
        <v>6.3730000000000002E-3</v>
      </c>
      <c r="P252" s="42">
        <v>-9.0070700000000006</v>
      </c>
      <c r="Q252" s="42">
        <v>69</v>
      </c>
      <c r="R252" s="42">
        <v>312</v>
      </c>
      <c r="S252" s="42">
        <v>-71.447500000000005</v>
      </c>
      <c r="T252" s="42">
        <v>-42.483899999999998</v>
      </c>
      <c r="U252" s="42">
        <v>-54.360599999999998</v>
      </c>
      <c r="V252" s="42">
        <v>-7.1958799999999998</v>
      </c>
    </row>
    <row r="253" spans="1:22" x14ac:dyDescent="0.25">
      <c r="M253" t="s">
        <v>424</v>
      </c>
      <c r="N253">
        <v>0.05</v>
      </c>
      <c r="O253">
        <v>5.0000000000000001E-4</v>
      </c>
      <c r="P253">
        <v>2</v>
      </c>
      <c r="Q253">
        <v>3</v>
      </c>
      <c r="R253">
        <v>5</v>
      </c>
      <c r="S253">
        <v>0.5</v>
      </c>
      <c r="T253">
        <v>1</v>
      </c>
      <c r="U253">
        <v>0.5</v>
      </c>
      <c r="V253">
        <v>0.5</v>
      </c>
    </row>
    <row r="254" spans="1:22" x14ac:dyDescent="0.25">
      <c r="J254" s="9"/>
      <c r="L254" s="9"/>
      <c r="N254" s="9"/>
      <c r="P254" s="9"/>
      <c r="R254" s="9"/>
    </row>
  </sheetData>
  <hyperlinks>
    <hyperlink ref="C6" r:id="rId1" xr:uid="{00000000-0004-0000-0A00-000000000000}"/>
    <hyperlink ref="C5" r:id="rId2" xr:uid="{00000000-0004-0000-0A00-000001000000}"/>
    <hyperlink ref="C3" r:id="rId3" xr:uid="{00000000-0004-0000-0A00-000002000000}"/>
  </hyperlinks>
  <pageMargins left="0.7" right="0.7" top="0.75" bottom="0.75" header="0.3" footer="0.3"/>
  <pageSetup orientation="portrait" r:id="rId4"/>
  <tableParts count="8">
    <tablePart r:id="rId5"/>
    <tablePart r:id="rId6"/>
    <tablePart r:id="rId7"/>
    <tablePart r:id="rId8"/>
    <tablePart r:id="rId9"/>
    <tablePart r:id="rId10"/>
    <tablePart r:id="rId11"/>
    <tablePart r:id="rId1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9EDD7-4ADB-4F7B-A5F7-36DF9552DA4D}">
  <sheetPr codeName="Sheet26"/>
  <dimension ref="A1:C9"/>
  <sheetViews>
    <sheetView workbookViewId="0"/>
  </sheetViews>
  <sheetFormatPr defaultColWidth="8.85546875" defaultRowHeight="15" x14ac:dyDescent="0.25"/>
  <cols>
    <col min="1" max="1" width="12" customWidth="1"/>
    <col min="2" max="3" width="16.28515625" customWidth="1"/>
  </cols>
  <sheetData>
    <row r="1" spans="1:3" ht="45" x14ac:dyDescent="0.25">
      <c r="A1" s="46" t="s">
        <v>378</v>
      </c>
      <c r="B1" s="46" t="s">
        <v>584</v>
      </c>
      <c r="C1" s="46" t="s">
        <v>601</v>
      </c>
    </row>
    <row r="2" spans="1:3" x14ac:dyDescent="0.25">
      <c r="A2" s="46" t="s">
        <v>67</v>
      </c>
      <c r="B2" s="72">
        <v>0</v>
      </c>
      <c r="C2" s="82">
        <v>1</v>
      </c>
    </row>
    <row r="3" spans="1:3" ht="30" x14ac:dyDescent="0.25">
      <c r="A3" s="46" t="s">
        <v>71</v>
      </c>
      <c r="B3" s="81">
        <v>0</v>
      </c>
      <c r="C3" s="82">
        <v>1</v>
      </c>
    </row>
    <row r="5" spans="1:3" x14ac:dyDescent="0.25">
      <c r="A5" s="66"/>
      <c r="B5">
        <f>GetColorCountPoisson($B$2:$B$3,A5)</f>
        <v>1</v>
      </c>
    </row>
    <row r="6" spans="1:3" x14ac:dyDescent="0.25">
      <c r="A6" s="68"/>
      <c r="B6">
        <f>GetColorCountPoisson($B$2:$B$3,A6)</f>
        <v>1</v>
      </c>
    </row>
    <row r="7" spans="1:3" x14ac:dyDescent="0.25">
      <c r="A7" s="67"/>
      <c r="B7">
        <f>GetColorCountPoisson($B$2:$B$3,A7)</f>
        <v>0</v>
      </c>
    </row>
    <row r="8" spans="1:3" x14ac:dyDescent="0.25">
      <c r="A8" s="79"/>
      <c r="B8">
        <f>GetColorCountPoisson($B$2:$B$3,A8)</f>
        <v>0</v>
      </c>
    </row>
    <row r="9" spans="1:3" x14ac:dyDescent="0.25">
      <c r="A9" s="78"/>
      <c r="B9">
        <f>GetColorCountPoisson($B$2:$C$3,A9)</f>
        <v>2</v>
      </c>
    </row>
  </sheetData>
  <hyperlinks>
    <hyperlink ref="B2" location="Poisson_rates_external_ref!F3" display="Poisson_rates_external_ref!F3" xr:uid="{00000000-0004-0000-0B00-000000000000}"/>
    <hyperlink ref="B3" location="Poisson_rates_external_ref!F4" display="Poisson_rates_external_ref!F4" xr:uid="{00000000-0004-0000-0B00-00000100000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97734B-B945-41EF-86F2-D3C293E3B415}">
  <sheetPr codeName="Sheet27"/>
  <dimension ref="A1:G4"/>
  <sheetViews>
    <sheetView workbookViewId="0"/>
  </sheetViews>
  <sheetFormatPr defaultColWidth="8.85546875" defaultRowHeight="15" x14ac:dyDescent="0.25"/>
  <cols>
    <col min="1" max="1" width="18.42578125" customWidth="1"/>
    <col min="2" max="2" width="38.140625" customWidth="1"/>
    <col min="3" max="3" width="29.42578125" customWidth="1"/>
    <col min="4" max="4" width="32.140625" customWidth="1"/>
    <col min="5" max="5" width="19.42578125" customWidth="1"/>
    <col min="6" max="6" width="30.140625" customWidth="1"/>
    <col min="7" max="7" width="23.7109375" customWidth="1"/>
  </cols>
  <sheetData>
    <row r="1" spans="1:7" x14ac:dyDescent="0.25">
      <c r="A1" t="s">
        <v>593</v>
      </c>
    </row>
    <row r="2" spans="1:7" x14ac:dyDescent="0.25">
      <c r="A2" s="19" t="s">
        <v>143</v>
      </c>
      <c r="B2" s="19" t="s">
        <v>585</v>
      </c>
      <c r="C2" s="19" t="s">
        <v>173</v>
      </c>
      <c r="D2" s="19" t="s">
        <v>586</v>
      </c>
      <c r="E2" s="19" t="s">
        <v>589</v>
      </c>
      <c r="F2" s="19" t="s">
        <v>592</v>
      </c>
      <c r="G2" s="19" t="s">
        <v>180</v>
      </c>
    </row>
    <row r="3" spans="1:7" ht="195" x14ac:dyDescent="0.25">
      <c r="A3" s="19">
        <v>1</v>
      </c>
      <c r="B3" s="19" t="s">
        <v>587</v>
      </c>
      <c r="C3" s="27" t="s">
        <v>588</v>
      </c>
      <c r="D3" s="19" t="s">
        <v>599</v>
      </c>
      <c r="E3" s="19" t="s">
        <v>590</v>
      </c>
      <c r="F3" s="19">
        <v>40</v>
      </c>
      <c r="G3" s="19" t="s">
        <v>591</v>
      </c>
    </row>
    <row r="4" spans="1:7" ht="225" x14ac:dyDescent="0.25">
      <c r="A4" s="19">
        <v>2</v>
      </c>
      <c r="B4" s="19" t="s">
        <v>594</v>
      </c>
      <c r="C4" s="27" t="s">
        <v>596</v>
      </c>
      <c r="D4" s="19" t="s">
        <v>598</v>
      </c>
      <c r="E4" s="19" t="s">
        <v>597</v>
      </c>
      <c r="F4" s="19">
        <v>10</v>
      </c>
      <c r="G4" s="19" t="s">
        <v>595</v>
      </c>
    </row>
  </sheetData>
  <hyperlinks>
    <hyperlink ref="C3" r:id="rId1" xr:uid="{00000000-0004-0000-0C00-000000000000}"/>
    <hyperlink ref="C4" r:id="rId2" xr:uid="{00000000-0004-0000-0C00-000001000000}"/>
  </hyperlinks>
  <pageMargins left="0.7" right="0.7" top="0.75" bottom="0.75" header="0.3" footer="0.3"/>
  <pageSetup orientation="portrait" verticalDpi="0" r:id="rId3"/>
  <tableParts count="1">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M36"/>
  <sheetViews>
    <sheetView zoomScale="120" zoomScaleNormal="120" workbookViewId="0"/>
  </sheetViews>
  <sheetFormatPr defaultColWidth="8.85546875" defaultRowHeight="15" x14ac:dyDescent="0.25"/>
  <cols>
    <col min="1" max="1" width="15.28515625" customWidth="1"/>
    <col min="2" max="2" width="12" customWidth="1"/>
    <col min="3" max="4" width="11.28515625" bestFit="1" customWidth="1"/>
    <col min="5" max="5" width="14.42578125" customWidth="1"/>
    <col min="6" max="6" width="11.28515625" bestFit="1" customWidth="1"/>
    <col min="7" max="7" width="12.42578125" customWidth="1"/>
    <col min="8" max="8" width="13.7109375" customWidth="1"/>
    <col min="9" max="9" width="14.42578125" customWidth="1"/>
    <col min="10" max="10" width="14.85546875" customWidth="1"/>
    <col min="11" max="11" width="12.7109375" customWidth="1"/>
    <col min="12" max="12" width="14.42578125" customWidth="1"/>
    <col min="13" max="13" width="15.42578125" customWidth="1"/>
    <col min="14" max="14" width="16" customWidth="1"/>
    <col min="15" max="15" width="18" customWidth="1"/>
  </cols>
  <sheetData>
    <row r="1" spans="1:10" ht="37.5" x14ac:dyDescent="0.25">
      <c r="A1" s="12" t="s">
        <v>158</v>
      </c>
      <c r="B1" s="13" t="s">
        <v>39</v>
      </c>
      <c r="C1" s="13" t="s">
        <v>43</v>
      </c>
      <c r="D1" s="13" t="s">
        <v>46</v>
      </c>
      <c r="E1" s="13" t="s">
        <v>49</v>
      </c>
      <c r="F1" s="13" t="s">
        <v>52</v>
      </c>
      <c r="G1" s="13" t="s">
        <v>55</v>
      </c>
      <c r="H1" s="13" t="s">
        <v>695</v>
      </c>
      <c r="I1" s="13" t="s">
        <v>64</v>
      </c>
      <c r="J1" s="13" t="s">
        <v>34</v>
      </c>
    </row>
    <row r="2" spans="1:10" ht="35.25" customHeight="1" x14ac:dyDescent="0.25">
      <c r="A2" s="13" t="s">
        <v>55</v>
      </c>
      <c r="B2" s="117">
        <v>6.1203348401721321E-2</v>
      </c>
      <c r="C2" s="117">
        <v>6.8861729650358167E-2</v>
      </c>
      <c r="D2" s="117">
        <v>5.3727881406546704E-2</v>
      </c>
      <c r="E2" s="117">
        <v>3.1199783458776519E-3</v>
      </c>
      <c r="F2" s="117">
        <v>3.7527187005270226E-3</v>
      </c>
      <c r="G2" s="117">
        <v>9.2933467555893365E-2</v>
      </c>
      <c r="H2" s="125">
        <v>1.9817691068387301E-3</v>
      </c>
      <c r="I2" s="126">
        <v>3.5460771319560901E-3</v>
      </c>
      <c r="J2" s="126">
        <v>7.2096794265125302E-2</v>
      </c>
    </row>
    <row r="3" spans="1:10" ht="37.5" x14ac:dyDescent="0.25">
      <c r="A3" s="13" t="s">
        <v>695</v>
      </c>
      <c r="B3" s="117">
        <v>8.9148176478086011E-2</v>
      </c>
      <c r="C3" s="117">
        <v>0.10301783949200871</v>
      </c>
      <c r="D3" s="117">
        <v>6.7249848424865491E-2</v>
      </c>
      <c r="E3" s="105">
        <v>0</v>
      </c>
      <c r="F3" s="105">
        <v>0</v>
      </c>
      <c r="G3" s="125">
        <v>8.4515150213748502E-2</v>
      </c>
      <c r="H3" s="105">
        <v>0</v>
      </c>
      <c r="I3" s="115">
        <v>0</v>
      </c>
      <c r="J3" s="126">
        <v>0.11882477878628001</v>
      </c>
    </row>
    <row r="4" spans="1:10" ht="37.5" x14ac:dyDescent="0.25">
      <c r="A4" s="13" t="s">
        <v>39</v>
      </c>
      <c r="B4" s="105">
        <v>0</v>
      </c>
      <c r="C4" s="105">
        <v>0</v>
      </c>
      <c r="D4" s="105">
        <v>0</v>
      </c>
      <c r="E4" s="105">
        <v>0</v>
      </c>
      <c r="F4" s="105">
        <v>0</v>
      </c>
      <c r="G4" s="105">
        <v>0</v>
      </c>
      <c r="H4" s="105">
        <v>0</v>
      </c>
      <c r="I4" s="115">
        <v>0</v>
      </c>
      <c r="J4" s="127">
        <v>1.4999999999999999E-2</v>
      </c>
    </row>
    <row r="5" spans="1:10" ht="18.75" x14ac:dyDescent="0.25">
      <c r="A5" s="13" t="s">
        <v>43</v>
      </c>
      <c r="B5" s="127">
        <v>5.0000000000000001E-3</v>
      </c>
      <c r="C5" s="127">
        <v>5.0000000000000001E-3</v>
      </c>
      <c r="D5" s="127">
        <v>5.0000000000000001E-3</v>
      </c>
      <c r="E5" s="127">
        <v>5.0000000000000001E-3</v>
      </c>
      <c r="F5" s="105">
        <v>0</v>
      </c>
      <c r="G5" s="105">
        <v>0</v>
      </c>
      <c r="H5" s="127">
        <v>5.0000000000000001E-3</v>
      </c>
      <c r="I5" s="127">
        <v>0.01</v>
      </c>
      <c r="J5" s="127">
        <v>1.4999999999999999E-2</v>
      </c>
    </row>
    <row r="6" spans="1:10" ht="37.5" x14ac:dyDescent="0.25">
      <c r="A6" s="13" t="s">
        <v>46</v>
      </c>
      <c r="B6" s="127">
        <v>0.03</v>
      </c>
      <c r="C6" s="127">
        <v>0.03</v>
      </c>
      <c r="D6" s="127">
        <v>0.03</v>
      </c>
      <c r="E6" s="127">
        <v>0.03</v>
      </c>
      <c r="F6" s="105">
        <v>0</v>
      </c>
      <c r="G6" s="105">
        <v>0</v>
      </c>
      <c r="H6" s="127">
        <v>0.03</v>
      </c>
      <c r="I6" s="127">
        <v>0.03</v>
      </c>
      <c r="J6" s="127">
        <v>1.4999999999999999E-2</v>
      </c>
    </row>
    <row r="7" spans="1:10" ht="35.25" customHeight="1" x14ac:dyDescent="0.25">
      <c r="A7" s="13" t="s">
        <v>49</v>
      </c>
      <c r="B7" s="117">
        <v>3.2393229876964372E-2</v>
      </c>
      <c r="C7" s="117">
        <v>3.1752347790943908E-2</v>
      </c>
      <c r="D7" s="117">
        <v>2.4401738130525888E-2</v>
      </c>
      <c r="E7" s="117">
        <v>3.2578520820776682E-2</v>
      </c>
      <c r="F7" s="117">
        <v>2.3036995573319972E-2</v>
      </c>
      <c r="G7" s="117">
        <v>9.1323610306525416E-3</v>
      </c>
      <c r="H7" s="125">
        <v>2.8086373010979101E-2</v>
      </c>
      <c r="I7" s="126">
        <v>3.2744534052102897E-2</v>
      </c>
      <c r="J7" s="117">
        <v>2.7868609354794301E-2</v>
      </c>
    </row>
    <row r="8" spans="1:10" ht="15.75" customHeight="1" x14ac:dyDescent="0.25">
      <c r="A8" s="13" t="s">
        <v>52</v>
      </c>
      <c r="B8" s="117">
        <v>1.6751414681205841E-2</v>
      </c>
      <c r="C8" s="117">
        <v>1.6300617068683923E-2</v>
      </c>
      <c r="D8" s="117">
        <v>1.0742278540606838E-2</v>
      </c>
      <c r="E8" s="117">
        <v>1.7031561001183821E-2</v>
      </c>
      <c r="F8" s="117">
        <v>9.7748737744621748E-3</v>
      </c>
      <c r="G8" s="117">
        <v>5.345891855303468E-3</v>
      </c>
      <c r="H8" s="125">
        <v>1.5031871771667701E-2</v>
      </c>
      <c r="I8" s="126">
        <v>1.6928542170631101E-2</v>
      </c>
      <c r="J8" s="126">
        <v>1.36019039233742E-2</v>
      </c>
    </row>
    <row r="9" spans="1:10" ht="33" customHeight="1" x14ac:dyDescent="0.25">
      <c r="A9" s="13" t="s">
        <v>64</v>
      </c>
      <c r="B9" s="117">
        <v>6.3626081140497115E-2</v>
      </c>
      <c r="C9" s="117">
        <v>5.9925760405112487E-2</v>
      </c>
      <c r="D9" s="117">
        <v>3.9686162634668426E-2</v>
      </c>
      <c r="E9" s="117">
        <v>6.4874912028852053E-2</v>
      </c>
      <c r="F9" s="117">
        <v>3.8204625456942344E-2</v>
      </c>
      <c r="G9" s="117">
        <v>1.7385797155141058E-2</v>
      </c>
      <c r="H9" s="125">
        <v>3.4902967760361302E-2</v>
      </c>
      <c r="I9" s="126">
        <v>4.7470201978316098E-2</v>
      </c>
      <c r="J9" s="126">
        <v>4.17555599977689E-2</v>
      </c>
    </row>
    <row r="10" spans="1:10" ht="37.5" x14ac:dyDescent="0.25">
      <c r="A10" s="13" t="s">
        <v>34</v>
      </c>
      <c r="B10" s="126">
        <v>1.9780141918877201E-2</v>
      </c>
      <c r="C10" s="126">
        <v>1.9741756276297501E-2</v>
      </c>
      <c r="D10" s="126">
        <v>1.7299423628140201E-2</v>
      </c>
      <c r="E10" s="126">
        <v>2.0382377470350699E-2</v>
      </c>
      <c r="F10" s="126">
        <v>1.25783953956972E-2</v>
      </c>
      <c r="G10" s="126">
        <v>2.0653363509388401E-3</v>
      </c>
      <c r="H10" s="126">
        <v>1.33672243607345E-2</v>
      </c>
      <c r="I10" s="126">
        <v>2.09934225689348E-2</v>
      </c>
      <c r="J10" s="126">
        <v>2.5066466223198299E-2</v>
      </c>
    </row>
    <row r="14" spans="1:10" x14ac:dyDescent="0.25">
      <c r="A14" s="66"/>
      <c r="B14">
        <f>GetColorCountConnInt($B$2:$J$10,A14)</f>
        <v>50</v>
      </c>
    </row>
    <row r="15" spans="1:10" x14ac:dyDescent="0.25">
      <c r="A15" s="68"/>
      <c r="B15">
        <f>GetColorCountConnInt($B$2:$I$10,A15)</f>
        <v>0</v>
      </c>
    </row>
    <row r="16" spans="1:10" x14ac:dyDescent="0.25">
      <c r="A16" s="67"/>
      <c r="B16">
        <f>GetColorCountConnInt($B$2:$I$10,A16)</f>
        <v>0</v>
      </c>
    </row>
    <row r="17" spans="1:11" x14ac:dyDescent="0.25">
      <c r="A17" s="79"/>
      <c r="B17">
        <f>GetColorCountConnInt($B$2:$J$10,A17)</f>
        <v>15</v>
      </c>
    </row>
    <row r="18" spans="1:11" x14ac:dyDescent="0.25">
      <c r="A18" s="78"/>
      <c r="B18">
        <f>GetColorCountConnInt($B$2:$I$10,A18)</f>
        <v>0</v>
      </c>
    </row>
    <row r="23" spans="1:11" ht="131.25" x14ac:dyDescent="0.25">
      <c r="A23" s="12" t="s">
        <v>158</v>
      </c>
      <c r="B23" s="13" t="s">
        <v>39</v>
      </c>
      <c r="C23" s="13" t="s">
        <v>43</v>
      </c>
      <c r="D23" s="13" t="s">
        <v>46</v>
      </c>
      <c r="E23" s="13" t="s">
        <v>49</v>
      </c>
      <c r="F23" s="13" t="s">
        <v>52</v>
      </c>
      <c r="G23" s="13" t="s">
        <v>55</v>
      </c>
      <c r="H23" s="13" t="s">
        <v>695</v>
      </c>
      <c r="I23" s="13" t="s">
        <v>64</v>
      </c>
      <c r="J23" s="93" t="s">
        <v>34</v>
      </c>
      <c r="K23" s="94" t="s">
        <v>678</v>
      </c>
    </row>
    <row r="24" spans="1:11" ht="37.5" x14ac:dyDescent="0.25">
      <c r="A24" s="13" t="s">
        <v>55</v>
      </c>
      <c r="B24" s="95">
        <f>_xlfn.FLOOR.MATH(B2*(pop_size_neuron_type_internal!$B$2)*(pop_size_neuron_type_internal!$B$4))</f>
        <v>45133</v>
      </c>
      <c r="C24" s="95" t="e">
        <f>_xlfn.FLOOR.MATH(#REF!*(pop_size_neuron_type_internal!$B$2)*(pop_size_neuron_type_internal!$B$5))</f>
        <v>#REF!</v>
      </c>
      <c r="D24" s="95" t="e">
        <f>_xlfn.FLOOR.MATH(#REF!*(pop_size_neuron_type_internal!$B$2)*(pop_size_neuron_type_internal!$B$6))</f>
        <v>#REF!</v>
      </c>
      <c r="E24" s="95" t="e">
        <f>_xlfn.FLOOR.MATH(#REF!*(pop_size_neuron_type_internal!$B$2)*(pop_size_neuron_type_internal!$B$7))</f>
        <v>#REF!</v>
      </c>
      <c r="F24" s="95" t="e">
        <f>_xlfn.FLOOR.MATH(#REF!*(pop_size_neuron_type_internal!$B$2)*(pop_size_neuron_type_internal!$B$8))</f>
        <v>#REF!</v>
      </c>
      <c r="G24" s="95" t="e">
        <f>_xlfn.FLOOR.MATH(#REF!*(pop_size_neuron_type_internal!$B$2)*(pop_size_neuron_type_internal!$B$2))</f>
        <v>#REF!</v>
      </c>
      <c r="H24" s="95" t="e">
        <f>_xlfn.FLOOR.MATH(#REF!*(pop_size_neuron_type_internal!$B$2)*(pop_size_neuron_type_internal!$B$3))</f>
        <v>#REF!</v>
      </c>
      <c r="I24" s="95" t="e">
        <f>_xlfn.FLOOR.MATH(#REF!*(pop_size_neuron_type_internal!$B$2)*(pop_size_neuron_type_internal!$B$9))</f>
        <v>#REF!</v>
      </c>
      <c r="J24" s="97" t="e">
        <f>_xlfn.FLOOR.MATH(#REF!*(pop_size_neuron_type_internal!$B$2)*(pop_size_neuron_type_internal!$B$10))</f>
        <v>#REF!</v>
      </c>
      <c r="K24" s="98" t="e">
        <f t="shared" ref="K24:K32" si="0">SUM(B24:J24)</f>
        <v>#REF!</v>
      </c>
    </row>
    <row r="25" spans="1:11" ht="37.5" x14ac:dyDescent="0.25">
      <c r="A25" s="13" t="s">
        <v>695</v>
      </c>
      <c r="B25" s="95">
        <f>_xlfn.FLOOR.MATH(B3*(pop_size_neuron_type_internal!$B$3)*(pop_size_neuron_type_internal!$B$4))</f>
        <v>564147</v>
      </c>
      <c r="C25" s="95" t="e">
        <f>_xlfn.FLOOR.MATH(#REF!*(pop_size_neuron_type_internal!$B$3)*(pop_size_neuron_type_internal!$B$5))</f>
        <v>#REF!</v>
      </c>
      <c r="D25" s="95" t="e">
        <f>_xlfn.FLOOR.MATH(#REF!*(pop_size_neuron_type_internal!$B$3)*(pop_size_neuron_type_internal!$B$6))</f>
        <v>#REF!</v>
      </c>
      <c r="E25" s="96">
        <v>0</v>
      </c>
      <c r="F25" s="96">
        <v>0</v>
      </c>
      <c r="G25" s="95" t="e">
        <f>_xlfn.FLOOR.MATH(#REF!*(pop_size_neuron_type_internal!$B$3)*(pop_size_neuron_type_internal!$B$2))</f>
        <v>#REF!</v>
      </c>
      <c r="H25" s="96">
        <v>0</v>
      </c>
      <c r="I25" s="96">
        <v>0</v>
      </c>
      <c r="J25" s="97" t="e">
        <f>_xlfn.FLOOR.MATH(#REF!*(pop_size_neuron_type_internal!$B$3)*(pop_size_neuron_type_internal!$B$10))</f>
        <v>#REF!</v>
      </c>
      <c r="K25" s="98" t="e">
        <f t="shared" si="0"/>
        <v>#REF!</v>
      </c>
    </row>
    <row r="26" spans="1:11" ht="37.5" x14ac:dyDescent="0.25">
      <c r="A26" s="13" t="s">
        <v>39</v>
      </c>
      <c r="B26" s="99">
        <v>0</v>
      </c>
      <c r="C26" s="99">
        <v>0</v>
      </c>
      <c r="D26" s="99">
        <v>0</v>
      </c>
      <c r="E26" s="99">
        <v>0</v>
      </c>
      <c r="F26" s="99">
        <v>0</v>
      </c>
      <c r="G26" s="99">
        <v>0</v>
      </c>
      <c r="H26" s="99">
        <v>0</v>
      </c>
      <c r="I26" s="99">
        <v>0</v>
      </c>
      <c r="J26" s="100" t="e">
        <f>_xlfn.FLOOR.MATH(#REF!*(pop_size_neuron_type_internal!$B$4)*(pop_size_neuron_type_internal!$B$10))</f>
        <v>#REF!</v>
      </c>
      <c r="K26" s="98" t="e">
        <f t="shared" si="0"/>
        <v>#REF!</v>
      </c>
    </row>
    <row r="27" spans="1:11" ht="18.75" x14ac:dyDescent="0.25">
      <c r="A27" s="13" t="s">
        <v>43</v>
      </c>
      <c r="B27" s="101">
        <f>_xlfn.FLOOR.MATH(B5*(pop_size_neuron_type_internal!$B$5)*(pop_size_neuron_type_internal!$B$4))</f>
        <v>1677</v>
      </c>
      <c r="C27" s="101" t="e">
        <f>_xlfn.FLOOR.MATH(#REF!*(pop_size_neuron_type_internal!$B$5)*(pop_size_neuron_type_internal!$B$5))</f>
        <v>#REF!</v>
      </c>
      <c r="D27" s="101" t="e">
        <f>_xlfn.FLOOR.MATH(#REF!*(pop_size_neuron_type_internal!$B$5)*(pop_size_neuron_type_internal!$B$6))</f>
        <v>#REF!</v>
      </c>
      <c r="E27" s="101" t="e">
        <f>_xlfn.FLOOR.MATH(#REF!*(pop_size_neuron_type_internal!$B$5)*(pop_size_neuron_type_internal!$B$7))</f>
        <v>#REF!</v>
      </c>
      <c r="F27" s="99" t="e">
        <f>_xlfn.FLOOR.MATH(#REF!*(pop_size_neuron_type_internal!$B$5)*(pop_size_neuron_type_internal!$B$8))</f>
        <v>#REF!</v>
      </c>
      <c r="G27" s="99">
        <v>0</v>
      </c>
      <c r="H27" s="101" t="e">
        <f>_xlfn.FLOOR.MATH(#REF!*(pop_size_neuron_type_internal!$B$5)*(pop_size_neuron_type_internal!$B$3))</f>
        <v>#REF!</v>
      </c>
      <c r="I27" s="101" t="e">
        <f>_xlfn.FLOOR.MATH(#REF!*(pop_size_neuron_type_internal!$B$5)*(pop_size_neuron_type_internal!$B$9))</f>
        <v>#REF!</v>
      </c>
      <c r="J27" s="100" t="e">
        <f>_xlfn.FLOOR.MATH(#REF!*(pop_size_neuron_type_internal!$B$5)*(pop_size_neuron_type_internal!$B$10))</f>
        <v>#REF!</v>
      </c>
      <c r="K27" s="98" t="e">
        <f t="shared" si="0"/>
        <v>#REF!</v>
      </c>
    </row>
    <row r="28" spans="1:11" ht="37.5" x14ac:dyDescent="0.25">
      <c r="A28" s="13" t="s">
        <v>46</v>
      </c>
      <c r="B28" s="101">
        <f>_xlfn.FLOOR.MATH(B6*(pop_size_neuron_type_internal!$B$6)*(pop_size_neuron_type_internal!$B$4))</f>
        <v>13245</v>
      </c>
      <c r="C28" s="101" t="e">
        <f>_xlfn.FLOOR.MATH(#REF!*(pop_size_neuron_type_internal!$B$6)*(pop_size_neuron_type_internal!$B$5))</f>
        <v>#REF!</v>
      </c>
      <c r="D28" s="101" t="e">
        <f>_xlfn.FLOOR.MATH(#REF!*(pop_size_neuron_type_internal!$B$6)*(pop_size_neuron_type_internal!$B$6))</f>
        <v>#REF!</v>
      </c>
      <c r="E28" s="101" t="e">
        <f>_xlfn.FLOOR.MATH(#REF!*(pop_size_neuron_type_internal!$B$6)*(pop_size_neuron_type_internal!$B$7))</f>
        <v>#REF!</v>
      </c>
      <c r="F28" s="99" t="e">
        <f>_xlfn.FLOOR.MATH(#REF!*(pop_size_neuron_type_internal!$B$6)*(pop_size_neuron_type_internal!$B$8))</f>
        <v>#REF!</v>
      </c>
      <c r="G28" s="99">
        <v>0</v>
      </c>
      <c r="H28" s="101" t="e">
        <f>_xlfn.FLOOR.MATH(#REF!*(pop_size_neuron_type_internal!$B$6)*(pop_size_neuron_type_internal!$B$3))</f>
        <v>#REF!</v>
      </c>
      <c r="I28" s="101" t="e">
        <f>_xlfn.FLOOR.MATH(#REF!*(pop_size_neuron_type_internal!$B$6)*(pop_size_neuron_type_internal!$B$9))</f>
        <v>#REF!</v>
      </c>
      <c r="J28" s="100" t="e">
        <f>_xlfn.FLOOR.MATH(#REF!*(pop_size_neuron_type_internal!$B$6)*(pop_size_neuron_type_internal!$B$10))</f>
        <v>#REF!</v>
      </c>
      <c r="K28" s="98" t="e">
        <f t="shared" si="0"/>
        <v>#REF!</v>
      </c>
    </row>
    <row r="29" spans="1:11" ht="37.5" x14ac:dyDescent="0.25">
      <c r="A29" s="13" t="s">
        <v>49</v>
      </c>
      <c r="B29" s="95">
        <f>_xlfn.FLOOR.MATH(B7*(pop_size_neuron_type_internal!$B$7)*(pop_size_neuron_type_internal!$B$4))</f>
        <v>418806</v>
      </c>
      <c r="C29" s="95" t="e">
        <f>_xlfn.FLOOR.MATH(#REF!*(pop_size_neuron_type_internal!$B$7)*(pop_size_neuron_type_internal!$B$5))</f>
        <v>#REF!</v>
      </c>
      <c r="D29" s="95" t="e">
        <f>_xlfn.FLOOR.MATH(#REF!*(pop_size_neuron_type_internal!$B$7)*(pop_size_neuron_type_internal!$B$6))</f>
        <v>#REF!</v>
      </c>
      <c r="E29" s="95" t="e">
        <f>_xlfn.FLOOR.MATH(#REF!*(pop_size_neuron_type_internal!$B$7)*(pop_size_neuron_type_internal!$B$7))</f>
        <v>#REF!</v>
      </c>
      <c r="F29" s="95" t="e">
        <f>_xlfn.FLOOR.MATH(#REF!*(pop_size_neuron_type_internal!$B$7)*(pop_size_neuron_type_internal!$B$8))</f>
        <v>#REF!</v>
      </c>
      <c r="G29" s="95" t="e">
        <f>_xlfn.FLOOR.MATH(#REF!*(pop_size_neuron_type_internal!$B$7)*(pop_size_neuron_type_internal!$B$2))</f>
        <v>#REF!</v>
      </c>
      <c r="H29" s="95" t="e">
        <f>_xlfn.FLOOR.MATH(#REF!*(pop_size_neuron_type_internal!$B$7)*(pop_size_neuron_type_internal!$B$3))</f>
        <v>#REF!</v>
      </c>
      <c r="I29" s="95" t="e">
        <f>_xlfn.FLOOR.MATH(#REF!*(pop_size_neuron_type_internal!$B$7)*(pop_size_neuron_type_internal!$B$9))</f>
        <v>#REF!</v>
      </c>
      <c r="J29" s="97" t="e">
        <f>_xlfn.FLOOR.MATH(#REF!*(pop_size_neuron_type_internal!$B$7)*(pop_size_neuron_type_internal!$B$10))</f>
        <v>#REF!</v>
      </c>
      <c r="K29" s="98" t="e">
        <f t="shared" si="0"/>
        <v>#REF!</v>
      </c>
    </row>
    <row r="30" spans="1:11" ht="18.75" x14ac:dyDescent="0.25">
      <c r="A30" s="13" t="s">
        <v>52</v>
      </c>
      <c r="B30" s="95">
        <f>_xlfn.FLOOR.MATH(B8*(pop_size_neuron_type_internal!$B$8)*(pop_size_neuron_type_internal!$B$4))</f>
        <v>483</v>
      </c>
      <c r="C30" s="95" t="e">
        <f>_xlfn.FLOOR.MATH(#REF!*(pop_size_neuron_type_internal!$B$8)*(pop_size_neuron_type_internal!$B$5))</f>
        <v>#REF!</v>
      </c>
      <c r="D30" s="95" t="e">
        <f>_xlfn.FLOOR.MATH(#REF!*(pop_size_neuron_type_internal!$B$8)*(pop_size_neuron_type_internal!$B$6))</f>
        <v>#REF!</v>
      </c>
      <c r="E30" s="95" t="e">
        <f>_xlfn.FLOOR.MATH(#REF!*(pop_size_neuron_type_internal!$B$8)*(pop_size_neuron_type_internal!$B$7))</f>
        <v>#REF!</v>
      </c>
      <c r="F30" s="95" t="e">
        <f>_xlfn.FLOOR.MATH(#REF!*(pop_size_neuron_type_internal!$B$8)*(pop_size_neuron_type_internal!$B$8))</f>
        <v>#REF!</v>
      </c>
      <c r="G30" s="95" t="e">
        <f>_xlfn.FLOOR.MATH(#REF!*(pop_size_neuron_type_internal!$B$8)*(pop_size_neuron_type_internal!$B$2))</f>
        <v>#REF!</v>
      </c>
      <c r="H30" s="95" t="e">
        <f>_xlfn.FLOOR.MATH(#REF!*(pop_size_neuron_type_internal!$B$8)*(pop_size_neuron_type_internal!$B$3))</f>
        <v>#REF!</v>
      </c>
      <c r="I30" s="95" t="e">
        <f>_xlfn.FLOOR.MATH(#REF!*(pop_size_neuron_type_internal!$B$8)*(pop_size_neuron_type_internal!$B$9))</f>
        <v>#REF!</v>
      </c>
      <c r="J30" s="97" t="e">
        <f>_xlfn.FLOOR.MATH(#REF!*(pop_size_neuron_type_internal!$B$8)*(pop_size_neuron_type_internal!$B$10))</f>
        <v>#REF!</v>
      </c>
      <c r="K30" s="98" t="e">
        <f t="shared" si="0"/>
        <v>#REF!</v>
      </c>
    </row>
    <row r="31" spans="1:11" ht="37.5" x14ac:dyDescent="0.25">
      <c r="A31" s="13" t="s">
        <v>64</v>
      </c>
      <c r="B31" s="95">
        <f>_xlfn.FLOOR.MATH(B9*(pop_size_neuron_type_internal!$B$9)*(pop_size_neuron_type_internal!$B$4))</f>
        <v>64637</v>
      </c>
      <c r="C31" s="95" t="e">
        <f>_xlfn.FLOOR.MATH(#REF!*(pop_size_neuron_type_internal!$B$9)*(pop_size_neuron_type_internal!$B$5))</f>
        <v>#REF!</v>
      </c>
      <c r="D31" s="95" t="e">
        <f>_xlfn.FLOOR.MATH(#REF!*(pop_size_neuron_type_internal!$B$9)*(pop_size_neuron_type_internal!$B$6))</f>
        <v>#REF!</v>
      </c>
      <c r="E31" s="95" t="e">
        <f>_xlfn.FLOOR.MATH(#REF!*(pop_size_neuron_type_internal!$B$9)*(pop_size_neuron_type_internal!$B$7))</f>
        <v>#REF!</v>
      </c>
      <c r="F31" s="95" t="e">
        <f>_xlfn.FLOOR.MATH(#REF!*(pop_size_neuron_type_internal!$B$9)*(pop_size_neuron_type_internal!$B$8))</f>
        <v>#REF!</v>
      </c>
      <c r="G31" s="95" t="e">
        <f>_xlfn.FLOOR.MATH(#REF!*(pop_size_neuron_type_internal!$B$9)*(pop_size_neuron_type_internal!$B$2))</f>
        <v>#REF!</v>
      </c>
      <c r="H31" s="95" t="e">
        <f>_xlfn.FLOOR.MATH(#REF!*(pop_size_neuron_type_internal!$B$9)*(pop_size_neuron_type_internal!$B$3))</f>
        <v>#REF!</v>
      </c>
      <c r="I31" s="95" t="e">
        <f>_xlfn.FLOOR.MATH(#REF!*(pop_size_neuron_type_internal!$B$9)*(pop_size_neuron_type_internal!$B$9))</f>
        <v>#REF!</v>
      </c>
      <c r="J31" s="97" t="e">
        <f>_xlfn.FLOOR.MATH(#REF!*(pop_size_neuron_type_internal!$B$9)*(pop_size_neuron_type_internal!$B$10))</f>
        <v>#REF!</v>
      </c>
      <c r="K31" s="98" t="e">
        <f t="shared" si="0"/>
        <v>#REF!</v>
      </c>
    </row>
    <row r="32" spans="1:11" ht="37.5" x14ac:dyDescent="0.25">
      <c r="A32" s="13" t="s">
        <v>34</v>
      </c>
      <c r="B32" s="95">
        <f>_xlfn.FLOOR.MATH(B10*(pop_size_neuron_type_internal!$B$10)*(pop_size_neuron_type_internal!$B$4))</f>
        <v>987326</v>
      </c>
      <c r="C32" s="95" t="e">
        <f>_xlfn.FLOOR.MATH(#REF!*(pop_size_neuron_type_internal!$B$10)*(pop_size_neuron_type_internal!$B$5))</f>
        <v>#REF!</v>
      </c>
      <c r="D32" s="95" t="e">
        <f>_xlfn.FLOOR.MATH(#REF!*(pop_size_neuron_type_internal!$B$10)*(pop_size_neuron_type_internal!$B$6))</f>
        <v>#REF!</v>
      </c>
      <c r="E32" s="95" t="e">
        <f>_xlfn.FLOOR.MATH(#REF!*(pop_size_neuron_type_internal!$B$10)*(pop_size_neuron_type_internal!$B$7))</f>
        <v>#REF!</v>
      </c>
      <c r="F32" s="95" t="e">
        <f>_xlfn.FLOOR.MATH(#REF!*(pop_size_neuron_type_internal!$B$10)*(pop_size_neuron_type_internal!$B$8))</f>
        <v>#REF!</v>
      </c>
      <c r="G32" s="95" t="e">
        <f>_xlfn.FLOOR.MATH(#REF!*(pop_size_neuron_type_internal!$B$10)*(pop_size_neuron_type_internal!$B$2))</f>
        <v>#REF!</v>
      </c>
      <c r="H32" s="95" t="e">
        <f>_xlfn.FLOOR.MATH(#REF!*(pop_size_neuron_type_internal!$B$10)*(pop_size_neuron_type_internal!$B$3))</f>
        <v>#REF!</v>
      </c>
      <c r="I32" s="95" t="e">
        <f>_xlfn.FLOOR.MATH(#REF!*(pop_size_neuron_type_internal!$B$10)*(pop_size_neuron_type_internal!$B$9))</f>
        <v>#REF!</v>
      </c>
      <c r="J32" s="97" t="e">
        <f>_xlfn.FLOOR.MATH(#REF!*(pop_size_neuron_type_internal!$B$10)*(pop_size_neuron_type_internal!$B$10))</f>
        <v>#REF!</v>
      </c>
      <c r="K32" s="98" t="e">
        <f t="shared" si="0"/>
        <v>#REF!</v>
      </c>
    </row>
    <row r="34" spans="12:13" x14ac:dyDescent="0.25">
      <c r="L34" s="10" t="s">
        <v>676</v>
      </c>
      <c r="M34" s="98" t="e">
        <f>SUM(K24:K32)</f>
        <v>#REF!</v>
      </c>
    </row>
    <row r="35" spans="12:13" x14ac:dyDescent="0.25">
      <c r="L35" s="10" t="s">
        <v>677</v>
      </c>
      <c r="M35" s="102">
        <f>(external_to_internal_conn_prob!K18)</f>
        <v>43144519</v>
      </c>
    </row>
    <row r="36" spans="12:13" x14ac:dyDescent="0.25">
      <c r="L36" s="10" t="s">
        <v>679</v>
      </c>
      <c r="M36" s="98" t="e">
        <f>SUM(M34:M35)</f>
        <v>#REF!</v>
      </c>
    </row>
  </sheetData>
  <conditionalFormatting sqref="B9:G9">
    <cfRule type="cellIs" dxfId="4" priority="7" operator="greaterThanOrEqual">
      <formula>1</formula>
    </cfRule>
  </conditionalFormatting>
  <conditionalFormatting sqref="B8:G8">
    <cfRule type="cellIs" dxfId="3" priority="6" operator="greaterThanOrEqual">
      <formula>1</formula>
    </cfRule>
  </conditionalFormatting>
  <conditionalFormatting sqref="B7:G7">
    <cfRule type="cellIs" dxfId="2" priority="5" operator="greaterThanOrEqual">
      <formula>1</formula>
    </cfRule>
  </conditionalFormatting>
  <conditionalFormatting sqref="B3:D3">
    <cfRule type="cellIs" dxfId="1" priority="4" operator="greaterThanOrEqual">
      <formula>1</formula>
    </cfRule>
  </conditionalFormatting>
  <conditionalFormatting sqref="B2:G2">
    <cfRule type="cellIs" dxfId="0" priority="3" operator="greaterThanOrEqual">
      <formula>1</formula>
    </cfRule>
  </conditionalFormatting>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3993EC-54DC-47F8-BB99-30888F073096}">
  <sheetPr codeName="Sheet12"/>
  <dimension ref="A1:F6"/>
  <sheetViews>
    <sheetView workbookViewId="0"/>
  </sheetViews>
  <sheetFormatPr defaultColWidth="8.85546875" defaultRowHeight="15" x14ac:dyDescent="0.25"/>
  <cols>
    <col min="1" max="1" width="17" customWidth="1"/>
    <col min="2" max="2" width="47.42578125" customWidth="1"/>
    <col min="3" max="3" width="18.85546875" customWidth="1"/>
    <col min="4" max="4" width="14" customWidth="1"/>
    <col min="5" max="5" width="27.85546875" customWidth="1"/>
    <col min="6" max="6" width="23.42578125" customWidth="1"/>
  </cols>
  <sheetData>
    <row r="1" spans="1:6" x14ac:dyDescent="0.25">
      <c r="A1" s="19" t="s">
        <v>143</v>
      </c>
      <c r="B1" s="19" t="s">
        <v>144</v>
      </c>
      <c r="C1" s="19" t="s">
        <v>173</v>
      </c>
      <c r="D1" s="19" t="s">
        <v>426</v>
      </c>
      <c r="E1" s="19" t="s">
        <v>179</v>
      </c>
      <c r="F1" s="9" t="s">
        <v>427</v>
      </c>
    </row>
    <row r="2" spans="1:6" ht="201" customHeight="1" x14ac:dyDescent="0.25">
      <c r="A2" s="19">
        <v>1</v>
      </c>
      <c r="B2" s="19" t="s">
        <v>428</v>
      </c>
      <c r="C2" s="19"/>
      <c r="D2" s="19"/>
      <c r="E2" s="19" t="s">
        <v>429</v>
      </c>
      <c r="F2" s="19"/>
    </row>
    <row r="3" spans="1:6" ht="30" x14ac:dyDescent="0.25">
      <c r="A3" s="9"/>
      <c r="B3" s="9"/>
      <c r="C3" s="9"/>
      <c r="D3" s="9">
        <v>3.85</v>
      </c>
      <c r="E3" s="9"/>
      <c r="F3" s="19" t="s">
        <v>430</v>
      </c>
    </row>
    <row r="4" spans="1:6" ht="30" x14ac:dyDescent="0.25">
      <c r="A4" s="9"/>
      <c r="B4" s="9"/>
      <c r="C4" s="9"/>
      <c r="D4" s="9">
        <v>9</v>
      </c>
      <c r="E4" s="9"/>
      <c r="F4" s="19" t="s">
        <v>431</v>
      </c>
    </row>
    <row r="5" spans="1:6" ht="30" x14ac:dyDescent="0.25">
      <c r="A5" s="9"/>
      <c r="B5" s="9"/>
      <c r="C5" s="9"/>
      <c r="D5" s="9">
        <v>2</v>
      </c>
      <c r="E5" s="9"/>
      <c r="F5" s="19" t="s">
        <v>432</v>
      </c>
    </row>
    <row r="6" spans="1:6" ht="30" x14ac:dyDescent="0.25">
      <c r="A6" s="9"/>
      <c r="B6" s="9"/>
      <c r="C6" s="9"/>
      <c r="D6" s="9">
        <v>6</v>
      </c>
      <c r="E6" s="9"/>
      <c r="F6" s="19" t="s">
        <v>433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E6E89-F5ED-4AC4-A2F3-504216470B4E}">
  <sheetPr codeName="Sheet13"/>
  <dimension ref="A1:M18"/>
  <sheetViews>
    <sheetView workbookViewId="0"/>
  </sheetViews>
  <sheetFormatPr defaultColWidth="8.85546875" defaultRowHeight="15" x14ac:dyDescent="0.25"/>
  <cols>
    <col min="1" max="1" width="13.28515625" customWidth="1"/>
    <col min="2" max="2" width="12.28515625" customWidth="1"/>
    <col min="3" max="4" width="10.140625" bestFit="1" customWidth="1"/>
    <col min="5" max="5" width="14.85546875" customWidth="1"/>
    <col min="7" max="7" width="12.140625" customWidth="1"/>
    <col min="8" max="8" width="13.140625" customWidth="1"/>
    <col min="9" max="9" width="12.42578125" customWidth="1"/>
    <col min="10" max="10" width="14.85546875" customWidth="1"/>
    <col min="11" max="11" width="15.42578125" customWidth="1"/>
    <col min="12" max="13" width="18.28515625" customWidth="1"/>
  </cols>
  <sheetData>
    <row r="1" spans="1:13" ht="56.25" x14ac:dyDescent="0.25">
      <c r="A1" s="52" t="s">
        <v>158</v>
      </c>
      <c r="B1" s="13" t="s">
        <v>39</v>
      </c>
      <c r="C1" s="13" t="s">
        <v>43</v>
      </c>
      <c r="D1" s="13" t="s">
        <v>46</v>
      </c>
      <c r="E1" s="13" t="s">
        <v>49</v>
      </c>
      <c r="F1" s="13" t="s">
        <v>52</v>
      </c>
      <c r="G1" s="13" t="s">
        <v>55</v>
      </c>
      <c r="H1" s="13" t="s">
        <v>695</v>
      </c>
      <c r="I1" s="13" t="s">
        <v>64</v>
      </c>
      <c r="J1" s="13" t="s">
        <v>34</v>
      </c>
    </row>
    <row r="2" spans="1:13" ht="37.5" x14ac:dyDescent="0.25">
      <c r="A2" s="13" t="s">
        <v>67</v>
      </c>
      <c r="B2" s="26">
        <v>0.01</v>
      </c>
      <c r="C2" s="26">
        <v>1.2500000000000001E-2</v>
      </c>
      <c r="D2" s="26">
        <v>0.01</v>
      </c>
      <c r="E2" s="26">
        <v>3.5E-4</v>
      </c>
      <c r="F2" s="26">
        <v>0.15</v>
      </c>
      <c r="G2" s="26">
        <v>6.0000000000000001E-3</v>
      </c>
      <c r="H2" s="26">
        <v>6.9999999999999999E-4</v>
      </c>
      <c r="I2" s="26">
        <v>4.0000000000000001E-3</v>
      </c>
      <c r="J2" s="26">
        <v>2.0000000000000001E-4</v>
      </c>
    </row>
    <row r="3" spans="1:13" ht="37.5" x14ac:dyDescent="0.25">
      <c r="A3" s="13" t="s">
        <v>71</v>
      </c>
      <c r="B3" s="26">
        <f>(ext_to_int_prob_est_calc!B30)</f>
        <v>3.8966248352529939E-3</v>
      </c>
      <c r="C3" s="26">
        <f>(ext_to_int_prob_est_calc!B31)</f>
        <v>3.8966248352529939E-3</v>
      </c>
      <c r="D3" s="26">
        <f>(ext_to_int_prob_est_calc!B32)</f>
        <v>3.8966248352529939E-3</v>
      </c>
      <c r="E3" s="53">
        <v>0</v>
      </c>
      <c r="F3" s="53">
        <v>0</v>
      </c>
      <c r="G3" s="26">
        <f>(ext_to_int_prob_est_calc!B33)</f>
        <v>3.8966248352529939E-3</v>
      </c>
      <c r="H3" s="53">
        <v>0</v>
      </c>
      <c r="I3" s="53">
        <v>0</v>
      </c>
      <c r="J3" s="26">
        <f>(ext_to_int_prob_est_calc!B34)</f>
        <v>3.1214292435709581E-2</v>
      </c>
    </row>
    <row r="5" spans="1:13" x14ac:dyDescent="0.25">
      <c r="A5" s="66"/>
      <c r="B5">
        <f>GetColorCountConnExt($B$2:$J$3,A5)</f>
        <v>14</v>
      </c>
    </row>
    <row r="6" spans="1:13" x14ac:dyDescent="0.25">
      <c r="A6" s="68"/>
      <c r="B6">
        <f>GetColorCountConnExt($B$2:$J$3,A6)</f>
        <v>0</v>
      </c>
    </row>
    <row r="7" spans="1:13" x14ac:dyDescent="0.25">
      <c r="A7" s="67"/>
      <c r="B7">
        <f>GetColorCountConnExt($B$2:$J$3,A7)</f>
        <v>0</v>
      </c>
    </row>
    <row r="8" spans="1:13" x14ac:dyDescent="0.25">
      <c r="A8" s="79"/>
      <c r="B8">
        <f>GetColorCountConnExt($B$2:$J$3,A8)</f>
        <v>0</v>
      </c>
    </row>
    <row r="9" spans="1:13" x14ac:dyDescent="0.25">
      <c r="A9" s="78"/>
      <c r="B9">
        <f>GetColorCountConnExt($B$2:$J$3,A9)</f>
        <v>0</v>
      </c>
    </row>
    <row r="15" spans="1:13" ht="87.75" customHeight="1" x14ac:dyDescent="0.25">
      <c r="A15" s="52" t="s">
        <v>158</v>
      </c>
      <c r="B15" s="13" t="s">
        <v>39</v>
      </c>
      <c r="C15" s="13" t="s">
        <v>43</v>
      </c>
      <c r="D15" s="13" t="s">
        <v>46</v>
      </c>
      <c r="E15" s="13" t="s">
        <v>49</v>
      </c>
      <c r="F15" s="13" t="s">
        <v>52</v>
      </c>
      <c r="G15" s="13" t="s">
        <v>55</v>
      </c>
      <c r="H15" s="13" t="s">
        <v>695</v>
      </c>
      <c r="I15" s="13" t="s">
        <v>64</v>
      </c>
      <c r="J15" s="13" t="s">
        <v>34</v>
      </c>
      <c r="K15" s="94" t="s">
        <v>678</v>
      </c>
      <c r="L15" s="94" t="s">
        <v>680</v>
      </c>
      <c r="M15" s="94" t="s">
        <v>681</v>
      </c>
    </row>
    <row r="16" spans="1:13" ht="37.5" x14ac:dyDescent="0.25">
      <c r="A16" s="13" t="s">
        <v>67</v>
      </c>
      <c r="B16" s="92">
        <f>_xlfn.FLOOR.MATH(B2*(pop_size_neuron_type_external!B2)*(pop_size_neuron_type_internal!B4))</f>
        <v>1143877</v>
      </c>
      <c r="C16" s="92">
        <f>_xlfn.FLOOR.MATH(C2*(pop_size_neuron_type_external!B2)*(pop_size_neuron_type_internal!B5))</f>
        <v>1065459</v>
      </c>
      <c r="D16" s="92">
        <f>_xlfn.FLOOR.MATH(D2*(pop_size_neuron_type_external!B2)*(pop_size_neuron_type_internal!B6))</f>
        <v>1121715</v>
      </c>
      <c r="E16" s="92">
        <f>_xlfn.FLOOR.MATH(E2*(pop_size_neuron_type_external!B2)*(pop_size_neuron_type_internal!B7))</f>
        <v>1149639</v>
      </c>
      <c r="F16" s="92">
        <f>_xlfn.FLOOR.MATH(F2*(pop_size_neuron_type_external!B2)*(pop_size_neuron_type_internal!B8))</f>
        <v>1099554</v>
      </c>
      <c r="G16" s="92">
        <f>_xlfn.FLOOR.MATH(G2*(pop_size_neuron_type_external!B2)*(pop_size_neuron_type_internal!B2))</f>
        <v>1124102</v>
      </c>
      <c r="H16" s="92">
        <f>_xlfn.FLOOR.MATH(H2*(pop_size_neuron_type_external!B2)*(pop_size_neuron_type_internal!B3))</f>
        <v>1125414</v>
      </c>
      <c r="I16" s="92">
        <f>_xlfn.FLOOR.MATH(I2*(pop_size_neuron_type_external!B2)*(pop_size_neuron_type_internal!B9))</f>
        <v>1032387</v>
      </c>
      <c r="J16" s="92">
        <f>_xlfn.FLOOR.MATH(J2*(pop_size_neuron_type_external!B2)*(pop_size_neuron_type_internal!B10))</f>
        <v>2536270</v>
      </c>
      <c r="K16" s="54">
        <f>SUM(B16:J16)</f>
        <v>11398417</v>
      </c>
      <c r="L16" s="54">
        <v>13204574</v>
      </c>
      <c r="M16" s="54">
        <v>13210052</v>
      </c>
    </row>
    <row r="17" spans="1:13" ht="37.5" x14ac:dyDescent="0.25">
      <c r="A17" s="13" t="s">
        <v>71</v>
      </c>
      <c r="B17" s="92">
        <f>_xlfn.FLOOR.MATH(B3*(pop_size_neuron_type_external!B3)*(pop_size_neuron_type_internal!B4))</f>
        <v>35572</v>
      </c>
      <c r="C17" s="92">
        <f>_xlfn.FLOOR.MATH(C3*(pop_size_neuron_type_external!B3)*(pop_size_neuron_type_internal!B5))</f>
        <v>26506</v>
      </c>
      <c r="D17" s="92">
        <f>_xlfn.FLOOR.MATH(D3*(pop_size_neuron_type_external!B3)*(pop_size_neuron_type_internal!B6))</f>
        <v>34883</v>
      </c>
      <c r="E17" s="53">
        <v>0</v>
      </c>
      <c r="F17" s="53">
        <v>0</v>
      </c>
      <c r="G17" s="92">
        <f>_xlfn.FLOOR.MATH(G3*(pop_size_neuron_type_external!B3)*(pop_size_neuron_type_internal!B2))</f>
        <v>58262</v>
      </c>
      <c r="H17" s="53">
        <v>0</v>
      </c>
      <c r="I17" s="53">
        <v>0</v>
      </c>
      <c r="J17" s="92">
        <f>_xlfn.FLOOR.MATH(J3*(pop_size_neuron_type_external!B3)*(pop_size_neuron_type_internal!B10))</f>
        <v>31590879</v>
      </c>
      <c r="K17" s="54">
        <f>SUM(B17:J17)</f>
        <v>31746102</v>
      </c>
      <c r="L17" s="92">
        <v>116244252</v>
      </c>
      <c r="M17" s="92">
        <v>116257663</v>
      </c>
    </row>
    <row r="18" spans="1:13" x14ac:dyDescent="0.25">
      <c r="K18" s="54">
        <f>SUM(K16:K17)</f>
        <v>43144519</v>
      </c>
      <c r="L18" s="54">
        <f>SUM(L16:L17)</f>
        <v>129448826</v>
      </c>
      <c r="M18" s="54">
        <f>SUM(M16:M17)</f>
        <v>129467715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CA2C3-B5C9-4B36-8253-053FA8C40DB7}">
  <sheetPr codeName="Sheet14"/>
  <dimension ref="A1:G49"/>
  <sheetViews>
    <sheetView topLeftCell="A10" workbookViewId="0">
      <selection activeCell="B40" sqref="B40"/>
    </sheetView>
  </sheetViews>
  <sheetFormatPr defaultColWidth="8.85546875" defaultRowHeight="15" x14ac:dyDescent="0.25"/>
  <cols>
    <col min="1" max="1" width="16.85546875" customWidth="1"/>
    <col min="2" max="2" width="39.42578125" customWidth="1"/>
    <col min="3" max="3" width="30.140625" customWidth="1"/>
    <col min="4" max="4" width="34.140625" customWidth="1"/>
    <col min="5" max="5" width="16" customWidth="1"/>
    <col min="6" max="6" width="19.140625" customWidth="1"/>
    <col min="7" max="7" width="18.7109375" customWidth="1"/>
  </cols>
  <sheetData>
    <row r="1" spans="1:7" ht="30" x14ac:dyDescent="0.25">
      <c r="A1" s="9" t="s">
        <v>143</v>
      </c>
      <c r="B1" s="9" t="s">
        <v>144</v>
      </c>
      <c r="C1" s="9" t="s">
        <v>173</v>
      </c>
      <c r="D1" s="19" t="s">
        <v>434</v>
      </c>
      <c r="E1" s="9" t="s">
        <v>435</v>
      </c>
      <c r="F1" s="9" t="s">
        <v>436</v>
      </c>
      <c r="G1" s="9" t="s">
        <v>427</v>
      </c>
    </row>
    <row r="2" spans="1:7" ht="75" x14ac:dyDescent="0.25">
      <c r="A2" s="9">
        <v>1</v>
      </c>
      <c r="B2" s="19" t="s">
        <v>437</v>
      </c>
      <c r="C2" s="27" t="s">
        <v>438</v>
      </c>
      <c r="D2" s="9" t="s">
        <v>439</v>
      </c>
      <c r="E2" s="9"/>
      <c r="F2" s="9"/>
      <c r="G2" s="9"/>
    </row>
    <row r="3" spans="1:7" ht="60" x14ac:dyDescent="0.25">
      <c r="A3" s="9">
        <v>2</v>
      </c>
      <c r="B3" s="19" t="s">
        <v>440</v>
      </c>
      <c r="C3" s="27" t="s">
        <v>441</v>
      </c>
      <c r="D3" s="9" t="s">
        <v>439</v>
      </c>
      <c r="E3" s="9"/>
      <c r="F3" s="9"/>
      <c r="G3" s="19" t="s">
        <v>442</v>
      </c>
    </row>
    <row r="4" spans="1:7" ht="105" x14ac:dyDescent="0.25">
      <c r="A4" s="9"/>
      <c r="B4" s="19"/>
      <c r="C4" s="27"/>
      <c r="D4" s="9"/>
      <c r="E4" s="19" t="s">
        <v>443</v>
      </c>
      <c r="F4" s="9">
        <v>162342</v>
      </c>
      <c r="G4" s="19" t="s">
        <v>444</v>
      </c>
    </row>
    <row r="5" spans="1:7" ht="90" x14ac:dyDescent="0.25">
      <c r="A5" s="9"/>
      <c r="B5" s="19"/>
      <c r="C5" s="27"/>
      <c r="D5" s="9"/>
      <c r="E5" s="19" t="s">
        <v>445</v>
      </c>
      <c r="F5" s="9">
        <v>37852.199999999997</v>
      </c>
      <c r="G5" s="19" t="s">
        <v>446</v>
      </c>
    </row>
    <row r="6" spans="1:7" ht="225" x14ac:dyDescent="0.25">
      <c r="A6" s="9">
        <v>3</v>
      </c>
      <c r="B6" s="19" t="s">
        <v>447</v>
      </c>
      <c r="C6" s="27" t="s">
        <v>448</v>
      </c>
      <c r="D6" s="19" t="s">
        <v>449</v>
      </c>
      <c r="E6" s="19" t="s">
        <v>450</v>
      </c>
      <c r="F6" s="9">
        <f>_xlfn.FLOOR.MATH(F4/15)</f>
        <v>10822</v>
      </c>
      <c r="G6" s="19" t="s">
        <v>693</v>
      </c>
    </row>
    <row r="7" spans="1:7" ht="225" x14ac:dyDescent="0.25">
      <c r="A7" s="9"/>
      <c r="B7" s="19"/>
      <c r="C7" s="27"/>
      <c r="D7" s="9"/>
      <c r="E7" s="19" t="s">
        <v>451</v>
      </c>
      <c r="F7" s="9">
        <f>_xlfn.FLOOR.MATH(F5/15)</f>
        <v>2523</v>
      </c>
      <c r="G7" s="19" t="s">
        <v>693</v>
      </c>
    </row>
    <row r="8" spans="1:7" ht="135" x14ac:dyDescent="0.25">
      <c r="A8" s="9">
        <v>4</v>
      </c>
      <c r="B8" s="60" t="s">
        <v>267</v>
      </c>
      <c r="C8" s="61" t="s">
        <v>268</v>
      </c>
      <c r="D8" s="19" t="s">
        <v>452</v>
      </c>
      <c r="E8" s="19"/>
      <c r="F8" s="9">
        <v>1</v>
      </c>
      <c r="G8" s="19" t="s">
        <v>453</v>
      </c>
    </row>
    <row r="9" spans="1:7" ht="120" x14ac:dyDescent="0.25">
      <c r="A9" s="9"/>
      <c r="B9" s="62"/>
      <c r="C9" s="63"/>
      <c r="D9" s="19"/>
      <c r="E9" s="19"/>
      <c r="F9" s="9">
        <v>3</v>
      </c>
      <c r="G9" s="19" t="s">
        <v>454</v>
      </c>
    </row>
    <row r="10" spans="1:7" ht="60" x14ac:dyDescent="0.25">
      <c r="A10" s="19">
        <v>5</v>
      </c>
      <c r="B10" s="19" t="s">
        <v>455</v>
      </c>
      <c r="C10" s="27" t="s">
        <v>456</v>
      </c>
      <c r="D10" s="19" t="s">
        <v>457</v>
      </c>
      <c r="E10" s="19" t="s">
        <v>458</v>
      </c>
      <c r="F10" s="9">
        <v>1396</v>
      </c>
      <c r="G10" s="9"/>
    </row>
    <row r="11" spans="1:7" ht="45" x14ac:dyDescent="0.25">
      <c r="A11" s="9"/>
      <c r="B11" s="9"/>
      <c r="C11" s="9"/>
      <c r="D11" s="19" t="s">
        <v>457</v>
      </c>
      <c r="E11" s="19" t="s">
        <v>459</v>
      </c>
      <c r="F11" s="9">
        <v>1051</v>
      </c>
      <c r="G11" s="9"/>
    </row>
    <row r="12" spans="1:7" ht="60" x14ac:dyDescent="0.25">
      <c r="A12" s="9"/>
      <c r="B12" s="9"/>
      <c r="C12" s="9"/>
      <c r="D12" s="19" t="s">
        <v>460</v>
      </c>
      <c r="E12" s="19" t="s">
        <v>461</v>
      </c>
      <c r="F12" s="9">
        <v>4.0999999999999996</v>
      </c>
      <c r="G12" s="9"/>
    </row>
    <row r="13" spans="1:7" ht="60" x14ac:dyDescent="0.25">
      <c r="A13" s="9"/>
      <c r="B13" s="9"/>
      <c r="C13" s="9"/>
      <c r="D13" s="19" t="s">
        <v>460</v>
      </c>
      <c r="E13" s="19" t="s">
        <v>461</v>
      </c>
      <c r="F13" s="9">
        <v>4.0999999999999996</v>
      </c>
      <c r="G13" s="9"/>
    </row>
    <row r="14" spans="1:7" ht="60" x14ac:dyDescent="0.25">
      <c r="A14" s="9"/>
      <c r="B14" s="9"/>
      <c r="C14" s="9"/>
      <c r="D14" s="19" t="s">
        <v>462</v>
      </c>
      <c r="E14" s="19" t="s">
        <v>463</v>
      </c>
      <c r="F14" s="9">
        <v>30</v>
      </c>
      <c r="G14" s="19" t="s">
        <v>464</v>
      </c>
    </row>
    <row r="15" spans="1:7" ht="60" x14ac:dyDescent="0.25">
      <c r="A15" s="9"/>
      <c r="B15" s="9"/>
      <c r="C15" s="9"/>
      <c r="D15" s="19" t="s">
        <v>462</v>
      </c>
      <c r="E15" s="19" t="s">
        <v>465</v>
      </c>
      <c r="F15" s="9">
        <v>15</v>
      </c>
      <c r="G15" s="19" t="s">
        <v>466</v>
      </c>
    </row>
    <row r="16" spans="1:7" ht="105" x14ac:dyDescent="0.25">
      <c r="A16" s="9">
        <v>6</v>
      </c>
      <c r="B16" s="19" t="s">
        <v>467</v>
      </c>
      <c r="C16" s="27" t="s">
        <v>468</v>
      </c>
      <c r="D16" s="19" t="s">
        <v>469</v>
      </c>
      <c r="F16" s="24">
        <v>0.92</v>
      </c>
      <c r="G16" s="19" t="s">
        <v>691</v>
      </c>
    </row>
    <row r="17" spans="1:7" ht="90" x14ac:dyDescent="0.25">
      <c r="F17" s="24">
        <v>0.08</v>
      </c>
      <c r="G17" s="19" t="s">
        <v>692</v>
      </c>
    </row>
    <row r="23" spans="1:7" x14ac:dyDescent="0.25">
      <c r="A23" t="s">
        <v>470</v>
      </c>
    </row>
    <row r="24" spans="1:7" x14ac:dyDescent="0.25">
      <c r="A24" s="19" t="s">
        <v>471</v>
      </c>
      <c r="B24" s="19" t="s">
        <v>472</v>
      </c>
      <c r="C24" s="19" t="s">
        <v>473</v>
      </c>
    </row>
    <row r="25" spans="1:7" x14ac:dyDescent="0.25">
      <c r="A25" s="19" t="s">
        <v>474</v>
      </c>
      <c r="B25" s="19">
        <f>_xlfn.CEILING.MATH(F6*F16/F8)</f>
        <v>9957</v>
      </c>
      <c r="C25" s="19">
        <f>_xlfn.CEILING.MATH(F6*F17/F9)</f>
        <v>289</v>
      </c>
    </row>
    <row r="26" spans="1:7" ht="30" x14ac:dyDescent="0.25">
      <c r="A26" s="19" t="s">
        <v>475</v>
      </c>
      <c r="B26" s="19">
        <f>_xlfn.CEILING.MATH(F7*F16/F8)</f>
        <v>2322</v>
      </c>
      <c r="C26" s="19">
        <f>_xlfn.CEILING.MATH(F7*F17/F9)</f>
        <v>68</v>
      </c>
    </row>
    <row r="28" spans="1:7" x14ac:dyDescent="0.25">
      <c r="A28" t="s">
        <v>476</v>
      </c>
    </row>
    <row r="29" spans="1:7" ht="30" x14ac:dyDescent="0.25">
      <c r="A29" s="19" t="s">
        <v>477</v>
      </c>
      <c r="B29" s="19" t="s">
        <v>478</v>
      </c>
      <c r="C29" s="19" t="s">
        <v>296</v>
      </c>
      <c r="D29" s="19" t="s">
        <v>479</v>
      </c>
    </row>
    <row r="30" spans="1:7" ht="150" x14ac:dyDescent="0.25">
      <c r="A30" s="19" t="s">
        <v>346</v>
      </c>
      <c r="B30" s="19">
        <f>$C$26/pop_size_est_calc_internal!$C$58</f>
        <v>3.8966248352529939E-3</v>
      </c>
      <c r="C30" s="19" t="s">
        <v>480</v>
      </c>
      <c r="D30" s="19" t="s">
        <v>481</v>
      </c>
    </row>
    <row r="31" spans="1:7" ht="135" x14ac:dyDescent="0.25">
      <c r="A31" s="19" t="s">
        <v>482</v>
      </c>
      <c r="B31" s="19">
        <f>$C$26/pop_size_est_calc_internal!$C$58</f>
        <v>3.8966248352529939E-3</v>
      </c>
      <c r="C31" s="19" t="s">
        <v>480</v>
      </c>
      <c r="D31" s="19" t="s">
        <v>483</v>
      </c>
    </row>
    <row r="32" spans="1:7" ht="150" x14ac:dyDescent="0.25">
      <c r="A32" s="19" t="s">
        <v>484</v>
      </c>
      <c r="B32" s="19">
        <f>$C$26/pop_size_est_calc_internal!$C$58</f>
        <v>3.8966248352529939E-3</v>
      </c>
      <c r="C32" s="19" t="s">
        <v>480</v>
      </c>
      <c r="D32" s="19" t="s">
        <v>485</v>
      </c>
    </row>
    <row r="33" spans="1:4" ht="150" x14ac:dyDescent="0.25">
      <c r="A33" s="19" t="s">
        <v>486</v>
      </c>
      <c r="B33" s="19">
        <f>$C$26/pop_size_est_calc_internal!$C$58</f>
        <v>3.8966248352529939E-3</v>
      </c>
      <c r="C33" s="19" t="s">
        <v>480</v>
      </c>
      <c r="D33" s="19" t="s">
        <v>487</v>
      </c>
    </row>
    <row r="34" spans="1:4" ht="105" x14ac:dyDescent="0.25">
      <c r="A34" s="19" t="s">
        <v>488</v>
      </c>
      <c r="B34" s="19">
        <f>B26/pop_size_neuron_type_internal!B10</f>
        <v>3.1214292435709581E-2</v>
      </c>
      <c r="C34" s="19" t="s">
        <v>489</v>
      </c>
      <c r="D34" s="19" t="s">
        <v>490</v>
      </c>
    </row>
    <row r="38" spans="1:4" x14ac:dyDescent="0.25">
      <c r="A38" t="s">
        <v>491</v>
      </c>
    </row>
    <row r="39" spans="1:4" ht="30" x14ac:dyDescent="0.25">
      <c r="A39" s="19" t="s">
        <v>477</v>
      </c>
      <c r="B39" s="19" t="s">
        <v>478</v>
      </c>
      <c r="C39" s="19" t="s">
        <v>296</v>
      </c>
      <c r="D39" s="19" t="s">
        <v>479</v>
      </c>
    </row>
    <row r="40" spans="1:4" ht="180" x14ac:dyDescent="0.25">
      <c r="A40" s="19" t="s">
        <v>346</v>
      </c>
      <c r="B40" s="19">
        <f>($F$14 + $F$15)/(SUM(pop_size_neuron_type_internal!$B$2:$B$9))</f>
        <v>1.3560752169720347E-3</v>
      </c>
      <c r="C40" s="19" t="s">
        <v>492</v>
      </c>
      <c r="D40" s="19" t="s">
        <v>493</v>
      </c>
    </row>
    <row r="41" spans="1:4" ht="180" x14ac:dyDescent="0.25">
      <c r="A41" s="19" t="s">
        <v>482</v>
      </c>
      <c r="B41" s="19">
        <f>($F$14 + $F$15)/(SUM(pop_size_neuron_type_internal!$B$2:$B$9))</f>
        <v>1.3560752169720347E-3</v>
      </c>
      <c r="C41" s="19" t="s">
        <v>492</v>
      </c>
      <c r="D41" s="19" t="s">
        <v>494</v>
      </c>
    </row>
    <row r="42" spans="1:4" ht="180" x14ac:dyDescent="0.25">
      <c r="A42" s="19" t="s">
        <v>484</v>
      </c>
      <c r="B42" s="19">
        <f>($F$14 + $F$15)/(SUM(pop_size_neuron_type_internal!$B$2:$B$9))</f>
        <v>1.3560752169720347E-3</v>
      </c>
      <c r="C42" s="19" t="s">
        <v>492</v>
      </c>
      <c r="D42" s="19" t="s">
        <v>495</v>
      </c>
    </row>
    <row r="43" spans="1:4" ht="180" x14ac:dyDescent="0.25">
      <c r="A43" s="19" t="s">
        <v>356</v>
      </c>
      <c r="B43" s="19">
        <f>($F$14 + $F$15)/(SUM(pop_size_neuron_type_internal!$B$2:$B$9))</f>
        <v>1.3560752169720347E-3</v>
      </c>
      <c r="C43" s="19" t="s">
        <v>492</v>
      </c>
      <c r="D43" s="19" t="s">
        <v>496</v>
      </c>
    </row>
    <row r="44" spans="1:4" ht="165" x14ac:dyDescent="0.25">
      <c r="A44" s="19" t="s">
        <v>360</v>
      </c>
      <c r="B44" s="19">
        <f>($F$14 + $F$15)/(SUM(pop_size_neuron_type_internal!$B$2:$B$9))</f>
        <v>1.3560752169720347E-3</v>
      </c>
      <c r="C44" s="19" t="s">
        <v>492</v>
      </c>
      <c r="D44" s="19" t="s">
        <v>497</v>
      </c>
    </row>
    <row r="45" spans="1:4" ht="180" x14ac:dyDescent="0.25">
      <c r="A45" s="19" t="s">
        <v>486</v>
      </c>
      <c r="B45" s="19">
        <f>($F$14 + $F$15)/(SUM(pop_size_neuron_type_internal!$B$2:$B$9))</f>
        <v>1.3560752169720347E-3</v>
      </c>
      <c r="C45" s="19" t="s">
        <v>492</v>
      </c>
      <c r="D45" s="19" t="s">
        <v>498</v>
      </c>
    </row>
    <row r="46" spans="1:4" ht="180" x14ac:dyDescent="0.25">
      <c r="A46" s="19" t="s">
        <v>342</v>
      </c>
      <c r="B46" s="19">
        <f>($F$14 + $F$15)/(SUM(pop_size_neuron_type_internal!$B$2:$B$9))</f>
        <v>1.3560752169720347E-3</v>
      </c>
      <c r="C46" s="19" t="s">
        <v>492</v>
      </c>
      <c r="D46" s="19" t="s">
        <v>499</v>
      </c>
    </row>
    <row r="47" spans="1:4" ht="180" x14ac:dyDescent="0.25">
      <c r="A47" s="19" t="s">
        <v>500</v>
      </c>
      <c r="B47" s="19">
        <f>($F$14 + $F$15)/(SUM(pop_size_neuron_type_internal!$B$2:$B$9))</f>
        <v>1.3560752169720347E-3</v>
      </c>
      <c r="C47" s="19" t="s">
        <v>492</v>
      </c>
      <c r="D47" s="19" t="s">
        <v>501</v>
      </c>
    </row>
    <row r="48" spans="1:4" ht="120" x14ac:dyDescent="0.25">
      <c r="A48" s="19" t="s">
        <v>488</v>
      </c>
      <c r="B48" s="19">
        <f>(F12 + F13)/(pop_size_neuron_type_internal!B10)</f>
        <v>1.1023135140948258E-4</v>
      </c>
      <c r="C48" s="19" t="s">
        <v>502</v>
      </c>
      <c r="D48" s="19" t="s">
        <v>503</v>
      </c>
    </row>
    <row r="49" spans="2:2" x14ac:dyDescent="0.25">
      <c r="B49" t="s">
        <v>313</v>
      </c>
    </row>
  </sheetData>
  <hyperlinks>
    <hyperlink ref="C2" r:id="rId1" xr:uid="{00000000-0004-0000-1000-000000000000}"/>
    <hyperlink ref="C3" r:id="rId2" xr:uid="{00000000-0004-0000-1000-000001000000}"/>
    <hyperlink ref="C10" r:id="rId3" xr:uid="{00000000-0004-0000-1000-000002000000}"/>
    <hyperlink ref="C8" r:id="rId4" xr:uid="{00000000-0004-0000-1000-000003000000}"/>
    <hyperlink ref="C16" r:id="rId5" xr:uid="{00000000-0004-0000-1000-000004000000}"/>
    <hyperlink ref="C6" r:id="rId6" xr:uid="{00000000-0004-0000-1000-000005000000}"/>
  </hyperlinks>
  <pageMargins left="0.7" right="0.7" top="0.75" bottom="0.75" header="0.3" footer="0.3"/>
  <pageSetup orientation="portrait" r:id="rId7"/>
  <tableParts count="4">
    <tablePart r:id="rId8"/>
    <tablePart r:id="rId9"/>
    <tablePart r:id="rId10"/>
    <tablePart r:id="rId1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F3825-2B0F-46A0-9F2B-F4E245919FF0}">
  <sheetPr codeName="Sheet15"/>
  <dimension ref="A1:S17"/>
  <sheetViews>
    <sheetView zoomScale="120" zoomScaleNormal="120" workbookViewId="0"/>
  </sheetViews>
  <sheetFormatPr defaultColWidth="8.85546875" defaultRowHeight="15" x14ac:dyDescent="0.25"/>
  <cols>
    <col min="1" max="1" width="79.5703125" bestFit="1"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4.5703125" customWidth="1"/>
    <col min="13" max="13" width="22.28515625" customWidth="1"/>
    <col min="14" max="14" width="21.140625" customWidth="1"/>
    <col min="15" max="15" width="18.85546875" customWidth="1"/>
    <col min="16" max="16" width="22.5703125" customWidth="1"/>
    <col min="17" max="17" width="20.28515625" customWidth="1"/>
    <col min="18" max="18" width="20.7109375" customWidth="1"/>
    <col min="19" max="19" width="18.42578125" customWidth="1"/>
  </cols>
  <sheetData>
    <row r="1" spans="1:19" x14ac:dyDescent="0.25">
      <c r="A1" s="120" t="s">
        <v>504</v>
      </c>
      <c r="B1" s="120" t="s">
        <v>608</v>
      </c>
      <c r="C1" s="120" t="s">
        <v>616</v>
      </c>
      <c r="D1" s="120" t="s">
        <v>609</v>
      </c>
      <c r="E1" s="120" t="s">
        <v>617</v>
      </c>
      <c r="F1" s="120" t="s">
        <v>610</v>
      </c>
      <c r="G1" s="120" t="s">
        <v>618</v>
      </c>
      <c r="H1" s="120" t="s">
        <v>611</v>
      </c>
      <c r="I1" s="120" t="s">
        <v>619</v>
      </c>
      <c r="J1" s="120" t="s">
        <v>612</v>
      </c>
      <c r="K1" s="120" t="s">
        <v>620</v>
      </c>
      <c r="L1" s="120" t="s">
        <v>613</v>
      </c>
      <c r="M1" s="120" t="s">
        <v>621</v>
      </c>
      <c r="N1" s="120" t="s">
        <v>696</v>
      </c>
      <c r="O1" s="120" t="s">
        <v>697</v>
      </c>
      <c r="P1" s="120" t="s">
        <v>614</v>
      </c>
      <c r="Q1" s="120" t="s">
        <v>622</v>
      </c>
      <c r="R1" s="120" t="s">
        <v>615</v>
      </c>
      <c r="S1" s="120" t="s">
        <v>623</v>
      </c>
    </row>
    <row r="2" spans="1:19" x14ac:dyDescent="0.25">
      <c r="A2" s="120" t="s">
        <v>55</v>
      </c>
      <c r="B2" s="82">
        <v>3.1572623530000001</v>
      </c>
      <c r="C2" s="83">
        <v>0</v>
      </c>
      <c r="D2" s="82">
        <v>2.9153198539999998</v>
      </c>
      <c r="E2" s="83">
        <v>0</v>
      </c>
      <c r="F2" s="82">
        <v>2.636826932</v>
      </c>
      <c r="G2" s="83">
        <v>0</v>
      </c>
      <c r="H2" s="82">
        <v>2.2618499760000002</v>
      </c>
      <c r="I2" s="83">
        <v>0</v>
      </c>
      <c r="J2" s="82">
        <v>2.6368339390000002</v>
      </c>
      <c r="K2" s="83">
        <v>0</v>
      </c>
      <c r="L2" s="82">
        <v>2.532175289</v>
      </c>
      <c r="M2" s="83">
        <v>0</v>
      </c>
      <c r="N2" s="82">
        <v>2.8531731740000001</v>
      </c>
      <c r="O2" s="83">
        <v>0</v>
      </c>
      <c r="P2" s="82">
        <v>2.9125389089999998</v>
      </c>
      <c r="Q2" s="83">
        <v>0</v>
      </c>
      <c r="R2" s="82">
        <v>2.4533692669999998</v>
      </c>
      <c r="S2" s="83">
        <v>0</v>
      </c>
    </row>
    <row r="3" spans="1:19" x14ac:dyDescent="0.25">
      <c r="A3" s="120" t="s">
        <v>695</v>
      </c>
      <c r="B3" s="82">
        <v>3.4355905330000001</v>
      </c>
      <c r="C3" s="83">
        <v>0</v>
      </c>
      <c r="D3" s="82">
        <v>3.2438289880000002</v>
      </c>
      <c r="E3" s="83">
        <v>0</v>
      </c>
      <c r="F3" s="82">
        <v>2.6835310360000002</v>
      </c>
      <c r="G3" s="83">
        <v>0</v>
      </c>
      <c r="H3" s="57">
        <v>0</v>
      </c>
      <c r="I3" s="57">
        <v>0</v>
      </c>
      <c r="J3" s="57">
        <v>0</v>
      </c>
      <c r="K3" s="57">
        <v>0</v>
      </c>
      <c r="L3" s="82">
        <v>2.8084257859999999</v>
      </c>
      <c r="M3" s="83">
        <v>0</v>
      </c>
      <c r="N3" s="57">
        <v>0</v>
      </c>
      <c r="O3" s="57">
        <v>0</v>
      </c>
      <c r="P3" s="57">
        <v>0</v>
      </c>
      <c r="Q3" s="57">
        <v>0</v>
      </c>
      <c r="R3" s="82">
        <v>2.5518543619999998</v>
      </c>
      <c r="S3" s="83">
        <v>0</v>
      </c>
    </row>
    <row r="4" spans="1:19" x14ac:dyDescent="0.25">
      <c r="A4" s="120" t="s">
        <v>39</v>
      </c>
      <c r="B4" s="57">
        <v>0</v>
      </c>
      <c r="C4" s="57">
        <v>0</v>
      </c>
      <c r="D4" s="57">
        <v>0</v>
      </c>
      <c r="E4" s="57">
        <v>0</v>
      </c>
      <c r="F4" s="57">
        <v>0</v>
      </c>
      <c r="G4" s="57">
        <v>0</v>
      </c>
      <c r="H4" s="57">
        <v>0</v>
      </c>
      <c r="I4" s="57">
        <v>0</v>
      </c>
      <c r="J4" s="57">
        <v>0</v>
      </c>
      <c r="K4" s="57">
        <v>0</v>
      </c>
      <c r="L4" s="57">
        <v>0</v>
      </c>
      <c r="M4" s="57">
        <v>0</v>
      </c>
      <c r="N4" s="57">
        <v>0</v>
      </c>
      <c r="O4" s="57">
        <v>0</v>
      </c>
      <c r="P4" s="57">
        <v>0</v>
      </c>
      <c r="Q4" s="57">
        <v>0</v>
      </c>
      <c r="R4" s="82">
        <v>3.6442616480000001</v>
      </c>
      <c r="S4" s="83">
        <v>0</v>
      </c>
    </row>
    <row r="5" spans="1:19" x14ac:dyDescent="0.25">
      <c r="A5" s="120" t="s">
        <v>43</v>
      </c>
      <c r="B5" s="82">
        <v>3.791348857</v>
      </c>
      <c r="C5" s="83">
        <v>0</v>
      </c>
      <c r="D5" s="82">
        <v>4.061631276</v>
      </c>
      <c r="E5" s="83">
        <v>0</v>
      </c>
      <c r="F5" s="82">
        <v>3.3592273530000001</v>
      </c>
      <c r="G5" s="83">
        <v>0</v>
      </c>
      <c r="H5" s="82">
        <v>3.135048131</v>
      </c>
      <c r="I5" s="83">
        <v>0</v>
      </c>
      <c r="J5" s="118">
        <v>0</v>
      </c>
      <c r="K5" s="118">
        <v>0</v>
      </c>
      <c r="L5" s="57">
        <v>0</v>
      </c>
      <c r="M5" s="57">
        <v>0</v>
      </c>
      <c r="N5" s="82">
        <v>3.7135534529999998</v>
      </c>
      <c r="O5" s="83">
        <v>0</v>
      </c>
      <c r="P5" s="82">
        <v>3.5909478780000001</v>
      </c>
      <c r="Q5" s="83">
        <v>0</v>
      </c>
      <c r="R5" s="82">
        <v>3.2194215719999999</v>
      </c>
      <c r="S5" s="83">
        <v>0</v>
      </c>
    </row>
    <row r="6" spans="1:19" x14ac:dyDescent="0.25">
      <c r="A6" s="120" t="s">
        <v>46</v>
      </c>
      <c r="B6" s="82">
        <v>2.7082137830000002</v>
      </c>
      <c r="C6" s="83">
        <v>0</v>
      </c>
      <c r="D6" s="82">
        <v>2.5675912479999998</v>
      </c>
      <c r="E6" s="83">
        <v>0</v>
      </c>
      <c r="F6" s="82">
        <v>2.5025362360000001</v>
      </c>
      <c r="G6" s="83">
        <v>0</v>
      </c>
      <c r="H6" s="82">
        <v>2.0648465059999999</v>
      </c>
      <c r="I6" s="83">
        <v>0</v>
      </c>
      <c r="J6" s="118">
        <v>0</v>
      </c>
      <c r="K6" s="118">
        <v>0</v>
      </c>
      <c r="L6" s="57">
        <v>0</v>
      </c>
      <c r="M6" s="57">
        <v>0</v>
      </c>
      <c r="N6" s="82">
        <v>2.7075469050000001</v>
      </c>
      <c r="O6" s="83">
        <v>0</v>
      </c>
      <c r="P6" s="82">
        <v>2.6866994310000001</v>
      </c>
      <c r="Q6" s="83">
        <v>0</v>
      </c>
      <c r="R6" s="82">
        <v>2.4285104479999999</v>
      </c>
      <c r="S6" s="83">
        <v>0</v>
      </c>
    </row>
    <row r="7" spans="1:19" x14ac:dyDescent="0.25">
      <c r="A7" s="120" t="s">
        <v>49</v>
      </c>
      <c r="B7" s="82">
        <v>2.6472044709999998</v>
      </c>
      <c r="C7" s="83">
        <v>0</v>
      </c>
      <c r="D7" s="82">
        <v>2.6005650079999998</v>
      </c>
      <c r="E7" s="83">
        <v>0</v>
      </c>
      <c r="F7" s="82">
        <v>2.5129260179999999</v>
      </c>
      <c r="G7" s="83">
        <v>0</v>
      </c>
      <c r="H7" s="82">
        <v>1.9108233910000001</v>
      </c>
      <c r="I7" s="83">
        <v>0</v>
      </c>
      <c r="J7" s="82">
        <v>2.4974231379999998</v>
      </c>
      <c r="K7" s="83">
        <v>0</v>
      </c>
      <c r="L7" s="82">
        <v>2.2405268440000001</v>
      </c>
      <c r="M7" s="83">
        <v>0</v>
      </c>
      <c r="N7" s="82">
        <v>2.607538323</v>
      </c>
      <c r="O7" s="83">
        <v>0</v>
      </c>
      <c r="P7" s="82">
        <v>2.65833298</v>
      </c>
      <c r="Q7" s="83">
        <v>0</v>
      </c>
      <c r="R7" s="82">
        <v>2.3582913300000001</v>
      </c>
      <c r="S7" s="83">
        <v>0</v>
      </c>
    </row>
    <row r="8" spans="1:19" x14ac:dyDescent="0.25">
      <c r="A8" s="120" t="s">
        <v>52</v>
      </c>
      <c r="B8" s="82">
        <v>2.4460693899999999</v>
      </c>
      <c r="C8" s="83">
        <v>0</v>
      </c>
      <c r="D8" s="82">
        <v>2.382462716</v>
      </c>
      <c r="E8" s="83">
        <v>0</v>
      </c>
      <c r="F8" s="82">
        <v>2.187767719</v>
      </c>
      <c r="G8" s="83">
        <v>0</v>
      </c>
      <c r="H8" s="82">
        <v>2.0820250680000001</v>
      </c>
      <c r="I8" s="83">
        <v>0</v>
      </c>
      <c r="J8" s="82">
        <v>2.0399645049999999</v>
      </c>
      <c r="K8" s="83">
        <v>0</v>
      </c>
      <c r="L8" s="82">
        <v>1.911396994</v>
      </c>
      <c r="M8" s="83">
        <v>0</v>
      </c>
      <c r="N8" s="82">
        <v>2.0983302680000002</v>
      </c>
      <c r="O8" s="83">
        <v>0</v>
      </c>
      <c r="P8" s="82">
        <v>2.1387623210000002</v>
      </c>
      <c r="Q8" s="83">
        <v>0</v>
      </c>
      <c r="R8" s="82">
        <v>1.9190233029999999</v>
      </c>
      <c r="S8" s="83">
        <v>0</v>
      </c>
    </row>
    <row r="9" spans="1:19" x14ac:dyDescent="0.25">
      <c r="A9" s="120" t="s">
        <v>64</v>
      </c>
      <c r="B9" s="82">
        <v>5.5589189049999996</v>
      </c>
      <c r="C9" s="83">
        <v>0</v>
      </c>
      <c r="D9" s="82">
        <v>4.2280903160000003</v>
      </c>
      <c r="E9" s="83">
        <v>0</v>
      </c>
      <c r="F9" s="82">
        <v>3.3068077730000001</v>
      </c>
      <c r="G9" s="83">
        <v>0</v>
      </c>
      <c r="H9" s="82">
        <v>3.7217380640000002</v>
      </c>
      <c r="I9" s="83">
        <v>0</v>
      </c>
      <c r="J9" s="82">
        <v>2.7830201739999998</v>
      </c>
      <c r="K9" s="83">
        <v>0</v>
      </c>
      <c r="L9" s="82">
        <v>3.7154363880000001</v>
      </c>
      <c r="M9" s="83">
        <v>0</v>
      </c>
      <c r="N9" s="82">
        <v>4.169599367</v>
      </c>
      <c r="O9" s="83">
        <v>0</v>
      </c>
      <c r="P9" s="82">
        <v>4.0210459399999996</v>
      </c>
      <c r="Q9" s="83">
        <v>0</v>
      </c>
      <c r="R9" s="82">
        <v>3.3758506690000001</v>
      </c>
      <c r="S9" s="83">
        <v>0</v>
      </c>
    </row>
    <row r="10" spans="1:19" x14ac:dyDescent="0.25">
      <c r="A10" s="120" t="s">
        <v>34</v>
      </c>
      <c r="B10" s="82">
        <v>2.8408440549999998</v>
      </c>
      <c r="C10" s="83">
        <v>0</v>
      </c>
      <c r="D10" s="82">
        <v>2.7002009390000001</v>
      </c>
      <c r="E10" s="83">
        <v>0</v>
      </c>
      <c r="F10" s="82">
        <v>2.5998535139999999</v>
      </c>
      <c r="G10" s="83">
        <v>0</v>
      </c>
      <c r="H10" s="82">
        <v>2.3217044499999999</v>
      </c>
      <c r="I10" s="83">
        <v>0</v>
      </c>
      <c r="J10" s="82">
        <v>2.4796795710000001</v>
      </c>
      <c r="K10" s="83">
        <v>0</v>
      </c>
      <c r="L10" s="82">
        <v>2.6155136529999998</v>
      </c>
      <c r="M10" s="83">
        <v>0</v>
      </c>
      <c r="N10" s="82">
        <v>2.7835528850000002</v>
      </c>
      <c r="O10" s="83">
        <v>0</v>
      </c>
      <c r="P10" s="82">
        <v>2.8556301400000002</v>
      </c>
      <c r="Q10" s="83">
        <v>0</v>
      </c>
      <c r="R10" s="82">
        <v>2.3687153890000001</v>
      </c>
      <c r="S10" s="83">
        <v>0</v>
      </c>
    </row>
    <row r="13" spans="1:19" x14ac:dyDescent="0.25">
      <c r="A13" s="66"/>
      <c r="B13">
        <f>GetColorCountSynCondInt($B$2:$S$10,A13)</f>
        <v>0</v>
      </c>
    </row>
    <row r="14" spans="1:19" x14ac:dyDescent="0.25">
      <c r="A14" s="68"/>
      <c r="B14">
        <f>GetColorCountSynCondInt($B$2:$S$10,A14)</f>
        <v>0</v>
      </c>
    </row>
    <row r="15" spans="1:19" x14ac:dyDescent="0.25">
      <c r="A15" s="67"/>
      <c r="B15">
        <f>GetColorCountSynCondInt($B$2:$S$10,A15)</f>
        <v>0</v>
      </c>
    </row>
    <row r="16" spans="1:19" x14ac:dyDescent="0.25">
      <c r="A16" s="79"/>
      <c r="B16">
        <f>GetColorCountSynCondInt($B$2:$S$10,A16)</f>
        <v>65</v>
      </c>
    </row>
    <row r="17" spans="1:2" x14ac:dyDescent="0.25">
      <c r="A17" s="78"/>
      <c r="B17">
        <f>GetColorCountSynCondInt($B$2:$S$10,A17)</f>
        <v>65</v>
      </c>
    </row>
  </sheetData>
  <pageMargins left="0.7" right="0.7" top="0.75" bottom="0.75" header="0.3" footer="0.3"/>
  <pageSetup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6E4E3-3CD1-FD47-BE43-B3E7E721F779}">
  <dimension ref="A1:S10"/>
  <sheetViews>
    <sheetView workbookViewId="0"/>
  </sheetViews>
  <sheetFormatPr defaultColWidth="10.7109375" defaultRowHeight="15" x14ac:dyDescent="0.25"/>
  <cols>
    <col min="1" max="1" width="68.7109375" bestFit="1" customWidth="1"/>
    <col min="2" max="2" width="18.7109375" bestFit="1" customWidth="1"/>
    <col min="3" max="3" width="16.85546875" bestFit="1" customWidth="1"/>
    <col min="4" max="4" width="14.85546875" bestFit="1" customWidth="1"/>
    <col min="5" max="5" width="13" bestFit="1" customWidth="1"/>
    <col min="6" max="6" width="16.28515625" bestFit="1" customWidth="1"/>
    <col min="7" max="7" width="14.28515625" bestFit="1" customWidth="1"/>
    <col min="8" max="8" width="18.42578125" bestFit="1" customWidth="1"/>
    <col min="9" max="9" width="16.7109375" bestFit="1" customWidth="1"/>
    <col min="10" max="10" width="12.140625" bestFit="1" customWidth="1"/>
    <col min="11" max="11" width="10.28515625" bestFit="1" customWidth="1"/>
    <col min="12" max="12" width="21" bestFit="1" customWidth="1"/>
    <col min="13" max="13" width="19.140625" bestFit="1" customWidth="1"/>
    <col min="14" max="14" width="18.140625" bestFit="1" customWidth="1"/>
    <col min="15" max="15" width="16.28515625" bestFit="1" customWidth="1"/>
    <col min="16" max="16" width="18" bestFit="1" customWidth="1"/>
    <col min="17" max="17" width="16" bestFit="1" customWidth="1"/>
    <col min="18" max="18" width="17.85546875" bestFit="1" customWidth="1"/>
    <col min="19" max="19" width="15.85546875" bestFit="1" customWidth="1"/>
  </cols>
  <sheetData>
    <row r="1" spans="1:19" x14ac:dyDescent="0.25">
      <c r="A1" s="119" t="s">
        <v>698</v>
      </c>
      <c r="B1" s="119" t="s">
        <v>608</v>
      </c>
      <c r="C1" s="119" t="s">
        <v>616</v>
      </c>
      <c r="D1" s="119" t="s">
        <v>609</v>
      </c>
      <c r="E1" s="119" t="s">
        <v>617</v>
      </c>
      <c r="F1" s="119" t="s">
        <v>610</v>
      </c>
      <c r="G1" s="119" t="s">
        <v>618</v>
      </c>
      <c r="H1" s="119" t="s">
        <v>611</v>
      </c>
      <c r="I1" s="119" t="s">
        <v>619</v>
      </c>
      <c r="J1" s="119" t="s">
        <v>612</v>
      </c>
      <c r="K1" s="119" t="s">
        <v>620</v>
      </c>
      <c r="L1" s="119" t="s">
        <v>613</v>
      </c>
      <c r="M1" s="119" t="s">
        <v>621</v>
      </c>
      <c r="N1" s="119" t="s">
        <v>696</v>
      </c>
      <c r="O1" s="119" t="s">
        <v>697</v>
      </c>
      <c r="P1" s="119" t="s">
        <v>614</v>
      </c>
      <c r="Q1" s="119" t="s">
        <v>622</v>
      </c>
      <c r="R1" s="119" t="s">
        <v>615</v>
      </c>
      <c r="S1" s="119" t="s">
        <v>623</v>
      </c>
    </row>
    <row r="2" spans="1:19" x14ac:dyDescent="0.25">
      <c r="A2" s="119" t="s">
        <v>55</v>
      </c>
      <c r="B2" s="82">
        <v>1</v>
      </c>
      <c r="C2" s="83">
        <v>0</v>
      </c>
      <c r="D2" s="82">
        <v>1</v>
      </c>
      <c r="E2" s="83">
        <v>0</v>
      </c>
      <c r="F2" s="82">
        <v>1</v>
      </c>
      <c r="G2" s="83">
        <v>0</v>
      </c>
      <c r="H2" s="82">
        <v>1</v>
      </c>
      <c r="I2" s="83">
        <v>0</v>
      </c>
      <c r="J2" s="82">
        <v>1</v>
      </c>
      <c r="K2" s="83">
        <v>0</v>
      </c>
      <c r="L2" s="82">
        <v>1</v>
      </c>
      <c r="M2" s="83">
        <v>0</v>
      </c>
      <c r="N2" s="82">
        <v>1</v>
      </c>
      <c r="O2" s="83">
        <v>0</v>
      </c>
      <c r="P2" s="82">
        <v>1</v>
      </c>
      <c r="Q2" s="83">
        <v>0</v>
      </c>
      <c r="R2" s="82">
        <v>1</v>
      </c>
      <c r="S2" s="83">
        <v>0</v>
      </c>
    </row>
    <row r="3" spans="1:19" x14ac:dyDescent="0.25">
      <c r="A3" s="119" t="s">
        <v>695</v>
      </c>
      <c r="B3" s="82">
        <v>1</v>
      </c>
      <c r="C3" s="83">
        <v>0</v>
      </c>
      <c r="D3" s="82">
        <v>1</v>
      </c>
      <c r="E3" s="83">
        <v>0</v>
      </c>
      <c r="F3" s="82">
        <v>1</v>
      </c>
      <c r="G3" s="83">
        <v>0</v>
      </c>
      <c r="H3" s="57">
        <v>0</v>
      </c>
      <c r="I3" s="57">
        <v>0</v>
      </c>
      <c r="J3" s="57">
        <v>0</v>
      </c>
      <c r="K3" s="57">
        <v>0</v>
      </c>
      <c r="L3" s="82">
        <v>1</v>
      </c>
      <c r="M3" s="83">
        <v>0</v>
      </c>
      <c r="N3" s="57">
        <v>0</v>
      </c>
      <c r="O3" s="57">
        <v>0</v>
      </c>
      <c r="P3" s="57">
        <v>0</v>
      </c>
      <c r="Q3" s="57">
        <v>0</v>
      </c>
      <c r="R3" s="82">
        <v>1</v>
      </c>
      <c r="S3" s="83">
        <v>0</v>
      </c>
    </row>
    <row r="4" spans="1:19" x14ac:dyDescent="0.25">
      <c r="A4" s="119" t="s">
        <v>39</v>
      </c>
      <c r="B4" s="57">
        <v>0</v>
      </c>
      <c r="C4" s="57">
        <v>0</v>
      </c>
      <c r="D4" s="57">
        <v>0</v>
      </c>
      <c r="E4" s="57">
        <v>0</v>
      </c>
      <c r="F4" s="57">
        <v>0</v>
      </c>
      <c r="G4" s="57">
        <v>0</v>
      </c>
      <c r="H4" s="57">
        <v>0</v>
      </c>
      <c r="I4" s="57">
        <v>0</v>
      </c>
      <c r="J4" s="57">
        <v>0</v>
      </c>
      <c r="K4" s="57">
        <v>0</v>
      </c>
      <c r="L4" s="57">
        <v>0</v>
      </c>
      <c r="M4" s="57">
        <v>0</v>
      </c>
      <c r="N4" s="57">
        <v>0</v>
      </c>
      <c r="O4" s="57">
        <v>0</v>
      </c>
      <c r="P4" s="57">
        <v>0</v>
      </c>
      <c r="Q4" s="57">
        <v>0</v>
      </c>
      <c r="R4" s="82">
        <v>1</v>
      </c>
      <c r="S4" s="83">
        <v>0</v>
      </c>
    </row>
    <row r="5" spans="1:19" x14ac:dyDescent="0.25">
      <c r="A5" s="119" t="s">
        <v>43</v>
      </c>
      <c r="B5" s="82">
        <v>1</v>
      </c>
      <c r="C5" s="83">
        <v>0</v>
      </c>
      <c r="D5" s="82">
        <v>1</v>
      </c>
      <c r="E5" s="83">
        <v>0</v>
      </c>
      <c r="F5" s="82">
        <v>1</v>
      </c>
      <c r="G5" s="83">
        <v>0</v>
      </c>
      <c r="H5" s="82">
        <v>1</v>
      </c>
      <c r="I5" s="83">
        <v>0</v>
      </c>
      <c r="J5" s="118">
        <v>0</v>
      </c>
      <c r="K5" s="118">
        <v>0</v>
      </c>
      <c r="L5" s="57">
        <v>0</v>
      </c>
      <c r="M5" s="57">
        <v>0</v>
      </c>
      <c r="N5" s="82">
        <v>1</v>
      </c>
      <c r="O5" s="83">
        <v>0</v>
      </c>
      <c r="P5" s="82">
        <v>1</v>
      </c>
      <c r="Q5" s="83">
        <v>0</v>
      </c>
      <c r="R5" s="82">
        <v>1</v>
      </c>
      <c r="S5" s="83">
        <v>0</v>
      </c>
    </row>
    <row r="6" spans="1:19" x14ac:dyDescent="0.25">
      <c r="A6" s="119" t="s">
        <v>46</v>
      </c>
      <c r="B6" s="82">
        <v>1</v>
      </c>
      <c r="C6" s="83">
        <v>0</v>
      </c>
      <c r="D6" s="82">
        <v>1</v>
      </c>
      <c r="E6" s="83">
        <v>0</v>
      </c>
      <c r="F6" s="82">
        <v>1</v>
      </c>
      <c r="G6" s="83">
        <v>0</v>
      </c>
      <c r="H6" s="82">
        <v>1</v>
      </c>
      <c r="I6" s="83">
        <v>0</v>
      </c>
      <c r="J6" s="118">
        <v>0</v>
      </c>
      <c r="K6" s="118">
        <v>0</v>
      </c>
      <c r="L6" s="57">
        <v>0</v>
      </c>
      <c r="M6" s="57">
        <v>0</v>
      </c>
      <c r="N6" s="82">
        <v>1</v>
      </c>
      <c r="O6" s="83">
        <v>0</v>
      </c>
      <c r="P6" s="82">
        <v>1</v>
      </c>
      <c r="Q6" s="83">
        <v>0</v>
      </c>
      <c r="R6" s="82">
        <v>1</v>
      </c>
      <c r="S6" s="83">
        <v>0</v>
      </c>
    </row>
    <row r="7" spans="1:19" x14ac:dyDescent="0.25">
      <c r="A7" s="119" t="s">
        <v>49</v>
      </c>
      <c r="B7" s="82">
        <v>1</v>
      </c>
      <c r="C7" s="83">
        <v>0</v>
      </c>
      <c r="D7" s="82">
        <v>1</v>
      </c>
      <c r="E7" s="83">
        <v>0</v>
      </c>
      <c r="F7" s="82">
        <v>1</v>
      </c>
      <c r="G7" s="83">
        <v>0</v>
      </c>
      <c r="H7" s="82">
        <v>1</v>
      </c>
      <c r="I7" s="83">
        <v>0</v>
      </c>
      <c r="J7" s="82">
        <v>1</v>
      </c>
      <c r="K7" s="83">
        <v>0</v>
      </c>
      <c r="L7" s="82">
        <v>1</v>
      </c>
      <c r="M7" s="83">
        <v>0</v>
      </c>
      <c r="N7" s="82">
        <v>1</v>
      </c>
      <c r="O7" s="83">
        <v>0</v>
      </c>
      <c r="P7" s="82">
        <v>1</v>
      </c>
      <c r="Q7" s="83">
        <v>0</v>
      </c>
      <c r="R7" s="82">
        <v>1</v>
      </c>
      <c r="S7" s="83">
        <v>0</v>
      </c>
    </row>
    <row r="8" spans="1:19" x14ac:dyDescent="0.25">
      <c r="A8" s="119" t="s">
        <v>52</v>
      </c>
      <c r="B8" s="82">
        <v>1</v>
      </c>
      <c r="C8" s="83">
        <v>0</v>
      </c>
      <c r="D8" s="82">
        <v>1</v>
      </c>
      <c r="E8" s="83">
        <v>0</v>
      </c>
      <c r="F8" s="82">
        <v>1</v>
      </c>
      <c r="G8" s="83">
        <v>0</v>
      </c>
      <c r="H8" s="82">
        <v>1</v>
      </c>
      <c r="I8" s="83">
        <v>0</v>
      </c>
      <c r="J8" s="82">
        <v>1</v>
      </c>
      <c r="K8" s="83">
        <v>0</v>
      </c>
      <c r="L8" s="82">
        <v>1</v>
      </c>
      <c r="M8" s="83">
        <v>0</v>
      </c>
      <c r="N8" s="82">
        <v>1</v>
      </c>
      <c r="O8" s="83">
        <v>0</v>
      </c>
      <c r="P8" s="82">
        <v>1</v>
      </c>
      <c r="Q8" s="83">
        <v>0</v>
      </c>
      <c r="R8" s="82">
        <v>1</v>
      </c>
      <c r="S8" s="83">
        <v>0</v>
      </c>
    </row>
    <row r="9" spans="1:19" x14ac:dyDescent="0.25">
      <c r="A9" s="119" t="s">
        <v>64</v>
      </c>
      <c r="B9" s="82">
        <v>1</v>
      </c>
      <c r="C9" s="83">
        <v>0</v>
      </c>
      <c r="D9" s="82">
        <v>1</v>
      </c>
      <c r="E9" s="83">
        <v>0</v>
      </c>
      <c r="F9" s="82">
        <v>1</v>
      </c>
      <c r="G9" s="83">
        <v>0</v>
      </c>
      <c r="H9" s="82">
        <v>1</v>
      </c>
      <c r="I9" s="83">
        <v>0</v>
      </c>
      <c r="J9" s="82">
        <v>1</v>
      </c>
      <c r="K9" s="83">
        <v>0</v>
      </c>
      <c r="L9" s="82">
        <v>1</v>
      </c>
      <c r="M9" s="83">
        <v>0</v>
      </c>
      <c r="N9" s="82">
        <v>1</v>
      </c>
      <c r="O9" s="83">
        <v>0</v>
      </c>
      <c r="P9" s="82">
        <v>1</v>
      </c>
      <c r="Q9" s="83">
        <v>0</v>
      </c>
      <c r="R9" s="82">
        <v>1</v>
      </c>
      <c r="S9" s="83">
        <v>0</v>
      </c>
    </row>
    <row r="10" spans="1:19" x14ac:dyDescent="0.25">
      <c r="A10" s="119" t="s">
        <v>34</v>
      </c>
      <c r="B10" s="82">
        <v>1</v>
      </c>
      <c r="C10" s="83">
        <v>0</v>
      </c>
      <c r="D10" s="82">
        <v>1</v>
      </c>
      <c r="E10" s="83">
        <v>0</v>
      </c>
      <c r="F10" s="82">
        <v>1</v>
      </c>
      <c r="G10" s="83">
        <v>0</v>
      </c>
      <c r="H10" s="82">
        <v>1</v>
      </c>
      <c r="I10" s="83">
        <v>0</v>
      </c>
      <c r="J10" s="82">
        <v>1</v>
      </c>
      <c r="K10" s="83">
        <v>0</v>
      </c>
      <c r="L10" s="82">
        <v>1</v>
      </c>
      <c r="M10" s="83">
        <v>0</v>
      </c>
      <c r="N10" s="82">
        <v>1</v>
      </c>
      <c r="O10" s="83">
        <v>0</v>
      </c>
      <c r="P10" s="82">
        <v>1</v>
      </c>
      <c r="Q10" s="83">
        <v>0</v>
      </c>
      <c r="R10" s="82">
        <v>1</v>
      </c>
      <c r="S10" s="83">
        <v>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D11D0-71EA-4D27-B09C-9F7EF50C240E}">
  <sheetPr codeName="Sheet16"/>
  <dimension ref="A1:S9"/>
  <sheetViews>
    <sheetView workbookViewId="0"/>
  </sheetViews>
  <sheetFormatPr defaultColWidth="8.85546875" defaultRowHeight="15" x14ac:dyDescent="0.25"/>
  <cols>
    <col min="1" max="1" width="81.85546875" bestFit="1" customWidth="1"/>
    <col min="2" max="3" width="12" customWidth="1"/>
    <col min="4" max="5" width="10.42578125" customWidth="1"/>
    <col min="6" max="7" width="11.7109375" customWidth="1"/>
    <col min="8" max="9" width="14.42578125" customWidth="1"/>
    <col min="12" max="13" width="15.7109375" customWidth="1"/>
    <col min="14" max="15" width="16" customWidth="1"/>
    <col min="16" max="17" width="13.7109375" customWidth="1"/>
    <col min="18" max="18" width="17.42578125" customWidth="1"/>
    <col min="19" max="19" width="18" customWidth="1"/>
    <col min="20" max="20" width="13.28515625" customWidth="1"/>
    <col min="21" max="21" width="13.140625" customWidth="1"/>
  </cols>
  <sheetData>
    <row r="1" spans="1:19" ht="75" x14ac:dyDescent="0.25">
      <c r="A1" s="54" t="s">
        <v>504</v>
      </c>
      <c r="B1" s="13" t="s">
        <v>608</v>
      </c>
      <c r="C1" s="13" t="s">
        <v>616</v>
      </c>
      <c r="D1" s="13" t="s">
        <v>609</v>
      </c>
      <c r="E1" s="13" t="s">
        <v>617</v>
      </c>
      <c r="F1" s="13" t="s">
        <v>610</v>
      </c>
      <c r="G1" s="13" t="s">
        <v>618</v>
      </c>
      <c r="H1" s="13" t="s">
        <v>611</v>
      </c>
      <c r="I1" s="13" t="s">
        <v>619</v>
      </c>
      <c r="J1" s="13" t="s">
        <v>612</v>
      </c>
      <c r="K1" s="13" t="s">
        <v>620</v>
      </c>
      <c r="L1" s="13" t="s">
        <v>613</v>
      </c>
      <c r="M1" s="13" t="s">
        <v>621</v>
      </c>
      <c r="N1" s="13" t="s">
        <v>696</v>
      </c>
      <c r="O1" s="13" t="s">
        <v>697</v>
      </c>
      <c r="P1" s="13" t="s">
        <v>614</v>
      </c>
      <c r="Q1" s="13" t="s">
        <v>622</v>
      </c>
      <c r="R1" s="13" t="s">
        <v>615</v>
      </c>
      <c r="S1" s="13" t="s">
        <v>623</v>
      </c>
    </row>
    <row r="2" spans="1:19" ht="18.75" x14ac:dyDescent="0.25">
      <c r="A2" s="13" t="s">
        <v>67</v>
      </c>
      <c r="B2" s="84">
        <v>0.1</v>
      </c>
      <c r="C2" s="85">
        <v>0</v>
      </c>
      <c r="D2" s="84">
        <v>0.1</v>
      </c>
      <c r="E2" s="85">
        <v>0</v>
      </c>
      <c r="F2" s="84">
        <v>0.1</v>
      </c>
      <c r="G2" s="85">
        <v>0</v>
      </c>
      <c r="H2" s="84">
        <v>0.1</v>
      </c>
      <c r="I2" s="85">
        <v>0</v>
      </c>
      <c r="J2" s="84">
        <v>0.1</v>
      </c>
      <c r="K2" s="85">
        <v>0</v>
      </c>
      <c r="L2" s="84">
        <v>0.1</v>
      </c>
      <c r="M2" s="85">
        <v>0</v>
      </c>
      <c r="N2" s="84">
        <v>0.1</v>
      </c>
      <c r="O2" s="85">
        <v>0</v>
      </c>
      <c r="P2" s="84">
        <v>0.1</v>
      </c>
      <c r="Q2" s="85">
        <v>0</v>
      </c>
      <c r="R2" s="84">
        <v>0.1</v>
      </c>
      <c r="S2" s="85">
        <v>0</v>
      </c>
    </row>
    <row r="3" spans="1:19" ht="18.75" x14ac:dyDescent="0.25">
      <c r="A3" s="13" t="s">
        <v>71</v>
      </c>
      <c r="B3" s="84">
        <v>0.1</v>
      </c>
      <c r="C3" s="85">
        <v>0</v>
      </c>
      <c r="D3" s="84">
        <v>0.1</v>
      </c>
      <c r="E3" s="85">
        <v>0</v>
      </c>
      <c r="F3" s="84">
        <v>0.1</v>
      </c>
      <c r="G3" s="85">
        <v>0</v>
      </c>
      <c r="H3" s="53">
        <v>0</v>
      </c>
      <c r="I3" s="53">
        <v>0</v>
      </c>
      <c r="J3" s="53">
        <v>0</v>
      </c>
      <c r="K3" s="53">
        <v>0</v>
      </c>
      <c r="L3" s="84">
        <v>0.1</v>
      </c>
      <c r="M3" s="85">
        <v>0</v>
      </c>
      <c r="N3" s="53">
        <v>0</v>
      </c>
      <c r="O3" s="53">
        <v>0</v>
      </c>
      <c r="P3" s="53">
        <v>0</v>
      </c>
      <c r="Q3" s="53">
        <v>0</v>
      </c>
      <c r="R3" s="84">
        <v>0.1</v>
      </c>
      <c r="S3" s="85">
        <v>0</v>
      </c>
    </row>
    <row r="5" spans="1:19" x14ac:dyDescent="0.25">
      <c r="A5" s="66"/>
      <c r="B5">
        <f>GetColorCountSynCondExt($B$2:$S$3,A5)</f>
        <v>0</v>
      </c>
    </row>
    <row r="6" spans="1:19" x14ac:dyDescent="0.25">
      <c r="A6" s="68"/>
      <c r="B6">
        <f>GetColorCountSynCondExt($B$2:$S$3,A6)</f>
        <v>0</v>
      </c>
    </row>
    <row r="7" spans="1:19" x14ac:dyDescent="0.25">
      <c r="A7" s="67"/>
      <c r="B7">
        <f>GetColorCountSynCondExt($B$2:$S$3,A7)</f>
        <v>0</v>
      </c>
    </row>
    <row r="8" spans="1:19" x14ac:dyDescent="0.25">
      <c r="A8" s="79"/>
      <c r="B8">
        <f>GetColorCountSynCondExt($B$2:$S$3,A8)</f>
        <v>14</v>
      </c>
    </row>
    <row r="9" spans="1:19" x14ac:dyDescent="0.25">
      <c r="A9" s="78"/>
      <c r="B9">
        <f>GetColorCountSynCondExt($B$2:$S$3,A9)</f>
        <v>14</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515A92-340E-4064-8A58-4E37F61AB2D7}">
  <sheetPr codeName="Sheet17"/>
  <dimension ref="A1:S15"/>
  <sheetViews>
    <sheetView workbookViewId="0"/>
  </sheetViews>
  <sheetFormatPr defaultColWidth="8.85546875" defaultRowHeight="15" x14ac:dyDescent="0.25"/>
  <cols>
    <col min="1" max="1" width="29.28515625" bestFit="1"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4.5703125" customWidth="1"/>
    <col min="13" max="13" width="22.28515625" customWidth="1"/>
    <col min="14" max="14" width="21.140625" customWidth="1"/>
    <col min="15" max="15" width="18.85546875" customWidth="1"/>
    <col min="16" max="16" width="20.85546875" customWidth="1"/>
    <col min="17" max="17" width="18.5703125" customWidth="1"/>
    <col min="18" max="18" width="36.140625" customWidth="1"/>
    <col min="19" max="19" width="33.85546875" customWidth="1"/>
    <col min="20" max="20" width="16.5703125" customWidth="1"/>
    <col min="21" max="21" width="14.28515625" customWidth="1"/>
    <col min="22" max="22" width="20.7109375" customWidth="1"/>
    <col min="23" max="23" width="18.42578125" customWidth="1"/>
  </cols>
  <sheetData>
    <row r="1" spans="1:19" x14ac:dyDescent="0.25">
      <c r="A1" s="121" t="s">
        <v>699</v>
      </c>
      <c r="B1" s="121" t="s">
        <v>608</v>
      </c>
      <c r="C1" s="121" t="s">
        <v>616</v>
      </c>
      <c r="D1" s="121" t="s">
        <v>609</v>
      </c>
      <c r="E1" s="121" t="s">
        <v>617</v>
      </c>
      <c r="F1" s="121" t="s">
        <v>610</v>
      </c>
      <c r="G1" s="121" t="s">
        <v>618</v>
      </c>
      <c r="H1" s="121" t="s">
        <v>611</v>
      </c>
      <c r="I1" s="121" t="s">
        <v>619</v>
      </c>
      <c r="J1" s="121" t="s">
        <v>612</v>
      </c>
      <c r="K1" s="121" t="s">
        <v>620</v>
      </c>
      <c r="L1" s="121" t="s">
        <v>613</v>
      </c>
      <c r="M1" s="121" t="s">
        <v>621</v>
      </c>
      <c r="N1" s="121" t="s">
        <v>696</v>
      </c>
      <c r="O1" s="121" t="s">
        <v>697</v>
      </c>
      <c r="P1" s="121" t="s">
        <v>614</v>
      </c>
      <c r="Q1" s="121" t="s">
        <v>622</v>
      </c>
      <c r="R1" s="121" t="s">
        <v>615</v>
      </c>
      <c r="S1" s="121" t="s">
        <v>623</v>
      </c>
    </row>
    <row r="2" spans="1:19" x14ac:dyDescent="0.25">
      <c r="A2" s="121" t="s">
        <v>55</v>
      </c>
      <c r="B2" s="82">
        <v>0.18088858099999999</v>
      </c>
      <c r="C2" s="83">
        <v>0</v>
      </c>
      <c r="D2" s="82">
        <v>0.13088956299999999</v>
      </c>
      <c r="E2" s="83">
        <v>0</v>
      </c>
      <c r="F2" s="82">
        <v>0.14914347999999999</v>
      </c>
      <c r="G2" s="83">
        <v>0</v>
      </c>
      <c r="H2" s="82">
        <v>7.0774287000000005E-2</v>
      </c>
      <c r="I2" s="83">
        <v>0</v>
      </c>
      <c r="J2" s="82">
        <v>0.14715487699999999</v>
      </c>
      <c r="K2" s="83">
        <v>0</v>
      </c>
      <c r="L2" s="82">
        <v>0.102218328</v>
      </c>
      <c r="M2" s="83">
        <v>0</v>
      </c>
      <c r="N2" s="82">
        <v>0.15389048899999999</v>
      </c>
      <c r="O2" s="83">
        <v>0</v>
      </c>
      <c r="P2" s="82">
        <v>0.178577768</v>
      </c>
      <c r="Q2" s="83">
        <v>0</v>
      </c>
      <c r="R2" s="82">
        <v>0.14174985400000001</v>
      </c>
      <c r="S2" s="83">
        <v>0</v>
      </c>
    </row>
    <row r="3" spans="1:19" x14ac:dyDescent="0.25">
      <c r="A3" s="121" t="s">
        <v>695</v>
      </c>
      <c r="B3" s="82">
        <v>0.22729152599999999</v>
      </c>
      <c r="C3" s="83">
        <v>0</v>
      </c>
      <c r="D3" s="82">
        <v>0.174447661</v>
      </c>
      <c r="E3" s="83">
        <v>0</v>
      </c>
      <c r="F3" s="82">
        <v>0.17682376</v>
      </c>
      <c r="G3" s="83">
        <v>0</v>
      </c>
      <c r="H3" s="57">
        <v>0</v>
      </c>
      <c r="I3" s="57">
        <v>0</v>
      </c>
      <c r="J3" s="57">
        <v>0</v>
      </c>
      <c r="K3" s="57">
        <v>0</v>
      </c>
      <c r="L3" s="82">
        <v>0.15204695100000001</v>
      </c>
      <c r="M3" s="83">
        <v>0</v>
      </c>
      <c r="N3" s="57">
        <v>0</v>
      </c>
      <c r="O3" s="57">
        <v>0</v>
      </c>
      <c r="P3" s="57">
        <v>0</v>
      </c>
      <c r="Q3" s="57">
        <v>0</v>
      </c>
      <c r="R3" s="82">
        <v>0.18879755400000001</v>
      </c>
      <c r="S3" s="83">
        <v>0</v>
      </c>
    </row>
    <row r="4" spans="1:19" x14ac:dyDescent="0.25">
      <c r="A4" s="121" t="s">
        <v>39</v>
      </c>
      <c r="B4" s="57">
        <v>0</v>
      </c>
      <c r="C4" s="57">
        <v>0</v>
      </c>
      <c r="D4" s="57">
        <v>0</v>
      </c>
      <c r="E4" s="57">
        <v>0</v>
      </c>
      <c r="F4" s="57">
        <v>0</v>
      </c>
      <c r="G4" s="57">
        <v>0</v>
      </c>
      <c r="H4" s="57">
        <v>0</v>
      </c>
      <c r="I4" s="57">
        <v>0</v>
      </c>
      <c r="J4" s="57">
        <v>0</v>
      </c>
      <c r="K4" s="57">
        <v>0</v>
      </c>
      <c r="L4" s="57">
        <v>0</v>
      </c>
      <c r="M4" s="57">
        <v>0</v>
      </c>
      <c r="N4" s="57">
        <v>0</v>
      </c>
      <c r="O4" s="57">
        <v>0</v>
      </c>
      <c r="P4" s="57">
        <v>0</v>
      </c>
      <c r="Q4" s="57">
        <v>0</v>
      </c>
      <c r="R4" s="82">
        <v>0.25991436099999998</v>
      </c>
      <c r="S4" s="83">
        <v>0</v>
      </c>
    </row>
    <row r="5" spans="1:19" x14ac:dyDescent="0.25">
      <c r="A5" s="121" t="s">
        <v>43</v>
      </c>
      <c r="B5" s="82">
        <v>0.25955001100000002</v>
      </c>
      <c r="C5" s="83">
        <v>0</v>
      </c>
      <c r="D5" s="82">
        <v>0.20290978900000001</v>
      </c>
      <c r="E5" s="83">
        <v>0</v>
      </c>
      <c r="F5" s="82">
        <v>0.215686662</v>
      </c>
      <c r="G5" s="83">
        <v>0</v>
      </c>
      <c r="H5" s="82">
        <v>0.116935135</v>
      </c>
      <c r="I5" s="83">
        <v>0</v>
      </c>
      <c r="J5" s="118">
        <v>0</v>
      </c>
      <c r="K5" s="118">
        <v>0</v>
      </c>
      <c r="L5" s="57">
        <v>0</v>
      </c>
      <c r="M5" s="57">
        <v>0</v>
      </c>
      <c r="N5" s="82">
        <v>0.22991097699999999</v>
      </c>
      <c r="O5" s="83">
        <v>0</v>
      </c>
      <c r="P5" s="82">
        <v>0.239996508</v>
      </c>
      <c r="Q5" s="83">
        <v>0</v>
      </c>
      <c r="R5" s="82">
        <v>0.216204016</v>
      </c>
      <c r="S5" s="83">
        <v>0</v>
      </c>
    </row>
    <row r="6" spans="1:19" x14ac:dyDescent="0.25">
      <c r="A6" s="121" t="s">
        <v>46</v>
      </c>
      <c r="B6" s="82">
        <v>0.18772651100000001</v>
      </c>
      <c r="C6" s="83">
        <v>0</v>
      </c>
      <c r="D6" s="82">
        <v>0.13108961499999999</v>
      </c>
      <c r="E6" s="83">
        <v>0</v>
      </c>
      <c r="F6" s="82">
        <v>0.157336639</v>
      </c>
      <c r="G6" s="83">
        <v>0</v>
      </c>
      <c r="H6" s="82">
        <v>6.1779984000000003E-2</v>
      </c>
      <c r="I6" s="83">
        <v>0</v>
      </c>
      <c r="J6" s="118">
        <v>0</v>
      </c>
      <c r="K6" s="118">
        <v>0</v>
      </c>
      <c r="L6" s="57">
        <v>0</v>
      </c>
      <c r="M6" s="57">
        <v>0</v>
      </c>
      <c r="N6" s="82">
        <v>0.19678854400000001</v>
      </c>
      <c r="O6" s="83">
        <v>0</v>
      </c>
      <c r="P6" s="82">
        <v>0.20757308399999999</v>
      </c>
      <c r="Q6" s="83">
        <v>0</v>
      </c>
      <c r="R6" s="82">
        <v>0.20356717399999999</v>
      </c>
      <c r="S6" s="83">
        <v>0</v>
      </c>
    </row>
    <row r="7" spans="1:19" x14ac:dyDescent="0.25">
      <c r="A7" s="121" t="s">
        <v>49</v>
      </c>
      <c r="B7" s="82">
        <v>0.181065594</v>
      </c>
      <c r="C7" s="83">
        <v>0</v>
      </c>
      <c r="D7" s="82">
        <v>0.129240835</v>
      </c>
      <c r="E7" s="83">
        <v>0</v>
      </c>
      <c r="F7" s="82">
        <v>0.156903502</v>
      </c>
      <c r="G7" s="83">
        <v>0</v>
      </c>
      <c r="H7" s="82">
        <v>4.2258508E-2</v>
      </c>
      <c r="I7" s="83">
        <v>0</v>
      </c>
      <c r="J7" s="82">
        <v>0.15467180699999999</v>
      </c>
      <c r="K7" s="83">
        <v>0</v>
      </c>
      <c r="L7" s="82">
        <v>0.12294833199999999</v>
      </c>
      <c r="M7" s="83">
        <v>0</v>
      </c>
      <c r="N7" s="82">
        <v>0.17295158099999999</v>
      </c>
      <c r="O7" s="83">
        <v>0</v>
      </c>
      <c r="P7" s="82">
        <v>0.188516356</v>
      </c>
      <c r="Q7" s="83">
        <v>0</v>
      </c>
      <c r="R7" s="82">
        <v>0.173165863</v>
      </c>
      <c r="S7" s="83">
        <v>0</v>
      </c>
    </row>
    <row r="8" spans="1:19" x14ac:dyDescent="0.25">
      <c r="A8" s="121" t="s">
        <v>52</v>
      </c>
      <c r="B8" s="82">
        <v>4.2875836000000001E-2</v>
      </c>
      <c r="C8" s="83">
        <v>0</v>
      </c>
      <c r="D8" s="82">
        <v>1.8759865000000001E-2</v>
      </c>
      <c r="E8" s="83">
        <v>0</v>
      </c>
      <c r="F8" s="82">
        <v>9.3226806999999995E-2</v>
      </c>
      <c r="G8" s="83">
        <v>0</v>
      </c>
      <c r="H8" s="82">
        <v>1.0497385E-2</v>
      </c>
      <c r="I8" s="83">
        <v>0</v>
      </c>
      <c r="J8" s="82">
        <v>5.9234373E-2</v>
      </c>
      <c r="K8" s="83">
        <v>0</v>
      </c>
      <c r="L8" s="82">
        <v>1.7980751E-2</v>
      </c>
      <c r="M8" s="83">
        <v>0</v>
      </c>
      <c r="N8" s="82">
        <v>5.4801760999999997E-2</v>
      </c>
      <c r="O8" s="83">
        <v>0</v>
      </c>
      <c r="P8" s="82">
        <v>5.3176879000000003E-2</v>
      </c>
      <c r="Q8" s="83">
        <v>0</v>
      </c>
      <c r="R8" s="82">
        <v>4.5297728000000002E-2</v>
      </c>
      <c r="S8" s="83">
        <v>0</v>
      </c>
    </row>
    <row r="9" spans="1:19" x14ac:dyDescent="0.25">
      <c r="A9" s="121" t="s">
        <v>64</v>
      </c>
      <c r="B9" s="82">
        <v>0.18574341699999999</v>
      </c>
      <c r="C9" s="83">
        <v>0</v>
      </c>
      <c r="D9" s="82">
        <v>0.123564968</v>
      </c>
      <c r="E9" s="83">
        <v>0</v>
      </c>
      <c r="F9" s="82">
        <v>0.164267618</v>
      </c>
      <c r="G9" s="83">
        <v>0</v>
      </c>
      <c r="H9" s="82">
        <v>5.2837000000000002E-2</v>
      </c>
      <c r="I9" s="83">
        <v>0</v>
      </c>
      <c r="J9" s="82">
        <v>0.14693494700000001</v>
      </c>
      <c r="K9" s="83">
        <v>0</v>
      </c>
      <c r="L9" s="82">
        <v>0.11554078700000001</v>
      </c>
      <c r="M9" s="83">
        <v>0</v>
      </c>
      <c r="N9" s="82">
        <v>0.170840239</v>
      </c>
      <c r="O9" s="83">
        <v>0</v>
      </c>
      <c r="P9" s="82">
        <v>0.19362037800000001</v>
      </c>
      <c r="Q9" s="83">
        <v>0</v>
      </c>
      <c r="R9" s="82">
        <v>0.157847979</v>
      </c>
      <c r="S9" s="83">
        <v>0</v>
      </c>
    </row>
    <row r="10" spans="1:19" x14ac:dyDescent="0.25">
      <c r="A10" s="121" t="s">
        <v>34</v>
      </c>
      <c r="B10" s="82">
        <v>0.17816195000000001</v>
      </c>
      <c r="C10" s="83">
        <v>0</v>
      </c>
      <c r="D10" s="82">
        <v>0.137496865</v>
      </c>
      <c r="E10" s="83">
        <v>0</v>
      </c>
      <c r="F10" s="82">
        <v>0.15118797</v>
      </c>
      <c r="G10" s="83">
        <v>0</v>
      </c>
      <c r="H10" s="82">
        <v>0.105352106</v>
      </c>
      <c r="I10" s="83">
        <v>0</v>
      </c>
      <c r="J10" s="82">
        <v>0.15618996900000001</v>
      </c>
      <c r="K10" s="83">
        <v>0</v>
      </c>
      <c r="L10" s="82">
        <v>0.130176816</v>
      </c>
      <c r="M10" s="83">
        <v>0</v>
      </c>
      <c r="N10" s="82">
        <v>0.170544117</v>
      </c>
      <c r="O10" s="83">
        <v>0</v>
      </c>
      <c r="P10" s="82">
        <v>0.19845995</v>
      </c>
      <c r="Q10" s="83">
        <v>0</v>
      </c>
      <c r="R10" s="82">
        <v>0.17717342599999999</v>
      </c>
      <c r="S10" s="83">
        <v>0</v>
      </c>
    </row>
    <row r="11" spans="1:19" x14ac:dyDescent="0.25">
      <c r="A11" s="66"/>
      <c r="B11">
        <f>GetColorCountSynResourceInt($B$2:$Q$9,A11)</f>
        <v>0</v>
      </c>
    </row>
    <row r="12" spans="1:19" x14ac:dyDescent="0.25">
      <c r="A12" s="68"/>
      <c r="B12">
        <f>GetColorCountSynResourceInt($B$2:$Q$9,A12)</f>
        <v>0</v>
      </c>
    </row>
    <row r="13" spans="1:19" x14ac:dyDescent="0.25">
      <c r="A13" s="67"/>
      <c r="B13">
        <f>GetColorCountSynResourceInt($B$2:$Q$9,A13)</f>
        <v>0</v>
      </c>
    </row>
    <row r="14" spans="1:19" x14ac:dyDescent="0.25">
      <c r="A14" s="79"/>
      <c r="B14">
        <f>GetColorCountSynResourceInt($B$2:$Q$9,A14)</f>
        <v>48</v>
      </c>
    </row>
    <row r="15" spans="1:19" x14ac:dyDescent="0.25">
      <c r="A15" s="78"/>
      <c r="B15">
        <f>GetColorCountSynResourceInt($B$2:$Q$9,A15)</f>
        <v>48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21593-FB13-4A2F-8ECC-5679A56FAEAA}">
  <sheetPr codeName="Sheet18"/>
  <dimension ref="A1:S9"/>
  <sheetViews>
    <sheetView workbookViewId="0"/>
  </sheetViews>
  <sheetFormatPr defaultColWidth="8.85546875" defaultRowHeight="15" x14ac:dyDescent="0.25"/>
  <cols>
    <col min="1" max="1" width="81.85546875" bestFit="1" customWidth="1"/>
    <col min="2" max="3" width="11.42578125" customWidth="1"/>
    <col min="8" max="9" width="13.85546875" customWidth="1"/>
    <col min="12" max="13" width="12.85546875" customWidth="1"/>
    <col min="14" max="15" width="11.7109375" customWidth="1"/>
    <col min="16" max="17" width="14.28515625" customWidth="1"/>
    <col min="18" max="18" width="13" customWidth="1"/>
    <col min="19" max="19" width="12.85546875" customWidth="1"/>
  </cols>
  <sheetData>
    <row r="1" spans="1:19" ht="93.75" x14ac:dyDescent="0.25">
      <c r="A1" s="58" t="s">
        <v>505</v>
      </c>
      <c r="B1" s="13" t="s">
        <v>608</v>
      </c>
      <c r="C1" s="13" t="s">
        <v>616</v>
      </c>
      <c r="D1" s="13" t="s">
        <v>609</v>
      </c>
      <c r="E1" s="13" t="s">
        <v>617</v>
      </c>
      <c r="F1" s="13" t="s">
        <v>610</v>
      </c>
      <c r="G1" s="13" t="s">
        <v>618</v>
      </c>
      <c r="H1" s="13" t="s">
        <v>611</v>
      </c>
      <c r="I1" s="13" t="s">
        <v>619</v>
      </c>
      <c r="J1" s="13" t="s">
        <v>612</v>
      </c>
      <c r="K1" s="13" t="s">
        <v>620</v>
      </c>
      <c r="L1" s="13" t="s">
        <v>613</v>
      </c>
      <c r="M1" s="13" t="s">
        <v>621</v>
      </c>
      <c r="N1" s="13" t="s">
        <v>696</v>
      </c>
      <c r="O1" s="13" t="s">
        <v>697</v>
      </c>
      <c r="P1" s="13" t="s">
        <v>614</v>
      </c>
      <c r="Q1" s="13" t="s">
        <v>622</v>
      </c>
      <c r="R1" s="13" t="s">
        <v>615</v>
      </c>
      <c r="S1" s="13" t="s">
        <v>623</v>
      </c>
    </row>
    <row r="2" spans="1:19" ht="18.75" x14ac:dyDescent="0.25">
      <c r="A2" s="13" t="s">
        <v>67</v>
      </c>
      <c r="B2" s="84">
        <v>0.45</v>
      </c>
      <c r="C2" s="85">
        <v>0</v>
      </c>
      <c r="D2" s="84">
        <v>0.45</v>
      </c>
      <c r="E2" s="85">
        <v>0</v>
      </c>
      <c r="F2" s="84">
        <v>0.45</v>
      </c>
      <c r="G2" s="85">
        <v>0</v>
      </c>
      <c r="H2" s="84">
        <v>0.45</v>
      </c>
      <c r="I2" s="85">
        <v>0</v>
      </c>
      <c r="J2" s="84">
        <v>0.45</v>
      </c>
      <c r="K2" s="85">
        <v>0</v>
      </c>
      <c r="L2" s="84">
        <v>0.45</v>
      </c>
      <c r="M2" s="85">
        <v>0</v>
      </c>
      <c r="N2" s="84">
        <v>0.45</v>
      </c>
      <c r="O2" s="85">
        <v>0</v>
      </c>
      <c r="P2" s="84">
        <v>0.45</v>
      </c>
      <c r="Q2" s="85">
        <v>0</v>
      </c>
      <c r="R2" s="84">
        <v>0.45</v>
      </c>
      <c r="S2" s="85">
        <v>0</v>
      </c>
    </row>
    <row r="3" spans="1:19" ht="18.75" x14ac:dyDescent="0.25">
      <c r="A3" s="13" t="s">
        <v>71</v>
      </c>
      <c r="B3" s="84">
        <v>0.45</v>
      </c>
      <c r="C3" s="85">
        <v>0</v>
      </c>
      <c r="D3" s="84">
        <v>0.45</v>
      </c>
      <c r="E3" s="85">
        <v>0</v>
      </c>
      <c r="F3" s="84">
        <v>0.45</v>
      </c>
      <c r="G3" s="85">
        <v>0</v>
      </c>
      <c r="H3" s="53">
        <v>0</v>
      </c>
      <c r="I3" s="53">
        <v>0</v>
      </c>
      <c r="J3" s="53">
        <v>0</v>
      </c>
      <c r="K3" s="53">
        <v>0</v>
      </c>
      <c r="L3" s="84">
        <v>0.45</v>
      </c>
      <c r="M3" s="85">
        <v>0</v>
      </c>
      <c r="N3" s="53">
        <v>0</v>
      </c>
      <c r="O3" s="53">
        <v>0</v>
      </c>
      <c r="P3" s="53">
        <v>0</v>
      </c>
      <c r="Q3" s="53">
        <v>0</v>
      </c>
      <c r="R3" s="84">
        <v>0.45</v>
      </c>
      <c r="S3" s="85">
        <v>0</v>
      </c>
    </row>
    <row r="5" spans="1:19" x14ac:dyDescent="0.25">
      <c r="A5" s="66"/>
      <c r="B5">
        <f>GetColorCountSynResourceExt($B$2:$S$3,A5)</f>
        <v>0</v>
      </c>
    </row>
    <row r="6" spans="1:19" x14ac:dyDescent="0.25">
      <c r="A6" s="68"/>
      <c r="B6">
        <f>GetColorCountSynResourceExt($B$2:$S$3,A6)</f>
        <v>0</v>
      </c>
    </row>
    <row r="7" spans="1:19" x14ac:dyDescent="0.25">
      <c r="A7" s="67"/>
      <c r="B7">
        <f>GetColorCountSynResourceExt($B$2:$S$3,A7)</f>
        <v>0</v>
      </c>
    </row>
    <row r="8" spans="1:19" x14ac:dyDescent="0.25">
      <c r="A8" s="79"/>
      <c r="B8">
        <f>GetColorCountSynResourceExt($B$2:$S$3,A8)</f>
        <v>14</v>
      </c>
    </row>
    <row r="9" spans="1:19" x14ac:dyDescent="0.25">
      <c r="A9" s="78"/>
      <c r="B9">
        <f>GetColorCountSynResourceExt($B$2:$S$3,A9)</f>
        <v>14</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B4873D-D319-4F5D-9634-7CDE38ABD191}">
  <sheetPr codeName="Sheet19"/>
  <dimension ref="A1:S15"/>
  <sheetViews>
    <sheetView workbookViewId="0"/>
  </sheetViews>
  <sheetFormatPr defaultColWidth="8.85546875" defaultRowHeight="15" x14ac:dyDescent="0.25"/>
  <cols>
    <col min="1" max="1" width="29.28515625"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4.5703125" customWidth="1"/>
    <col min="13" max="13" width="22.28515625" customWidth="1"/>
    <col min="14" max="14" width="21.140625" customWidth="1"/>
    <col min="15" max="15" width="18.85546875" customWidth="1"/>
    <col min="16" max="16" width="20.85546875" customWidth="1"/>
    <col min="17" max="17" width="18.5703125" customWidth="1"/>
    <col min="18" max="18" width="36.140625" customWidth="1"/>
    <col min="19" max="19" width="33.85546875" customWidth="1"/>
    <col min="20" max="20" width="16.5703125" customWidth="1"/>
    <col min="21" max="21" width="14.28515625" customWidth="1"/>
    <col min="22" max="22" width="20.7109375" customWidth="1"/>
    <col min="23" max="23" width="18.42578125" customWidth="1"/>
  </cols>
  <sheetData>
    <row r="1" spans="1:19" x14ac:dyDescent="0.25">
      <c r="A1" s="122" t="s">
        <v>700</v>
      </c>
      <c r="B1" s="122" t="s">
        <v>608</v>
      </c>
      <c r="C1" s="122" t="s">
        <v>616</v>
      </c>
      <c r="D1" s="122" t="s">
        <v>609</v>
      </c>
      <c r="E1" s="122" t="s">
        <v>617</v>
      </c>
      <c r="F1" s="122" t="s">
        <v>610</v>
      </c>
      <c r="G1" s="122" t="s">
        <v>618</v>
      </c>
      <c r="H1" s="122" t="s">
        <v>611</v>
      </c>
      <c r="I1" s="122" t="s">
        <v>619</v>
      </c>
      <c r="J1" s="122" t="s">
        <v>612</v>
      </c>
      <c r="K1" s="122" t="s">
        <v>620</v>
      </c>
      <c r="L1" s="122" t="s">
        <v>613</v>
      </c>
      <c r="M1" s="122" t="s">
        <v>621</v>
      </c>
      <c r="N1" s="122" t="s">
        <v>696</v>
      </c>
      <c r="O1" s="122" t="s">
        <v>697</v>
      </c>
      <c r="P1" s="122" t="s">
        <v>614</v>
      </c>
      <c r="Q1" s="122" t="s">
        <v>622</v>
      </c>
      <c r="R1" s="122" t="s">
        <v>615</v>
      </c>
      <c r="S1" s="122" t="s">
        <v>623</v>
      </c>
    </row>
    <row r="2" spans="1:19" x14ac:dyDescent="0.25">
      <c r="A2" s="122" t="s">
        <v>55</v>
      </c>
      <c r="B2" s="82">
        <v>550.99499079999998</v>
      </c>
      <c r="C2" s="83">
        <v>0</v>
      </c>
      <c r="D2" s="82">
        <v>641.82995940000001</v>
      </c>
      <c r="E2" s="83">
        <v>0</v>
      </c>
      <c r="F2" s="82">
        <v>527.76643560000002</v>
      </c>
      <c r="G2" s="83">
        <v>0</v>
      </c>
      <c r="H2" s="82">
        <v>591.537059</v>
      </c>
      <c r="I2" s="83">
        <v>0</v>
      </c>
      <c r="J2" s="82">
        <v>850.23573020000003</v>
      </c>
      <c r="K2" s="83">
        <v>0</v>
      </c>
      <c r="L2" s="82">
        <v>508.33141899999998</v>
      </c>
      <c r="M2" s="83">
        <v>0</v>
      </c>
      <c r="N2" s="82">
        <v>429.84305499999999</v>
      </c>
      <c r="O2" s="83">
        <v>0</v>
      </c>
      <c r="P2" s="82">
        <v>385.61389939999998</v>
      </c>
      <c r="Q2" s="83">
        <v>0</v>
      </c>
      <c r="R2" s="82">
        <v>363.05537989999999</v>
      </c>
      <c r="S2" s="83">
        <v>0</v>
      </c>
    </row>
    <row r="3" spans="1:19" x14ac:dyDescent="0.25">
      <c r="A3" s="122" t="s">
        <v>695</v>
      </c>
      <c r="B3" s="82">
        <v>525.23334829999999</v>
      </c>
      <c r="C3" s="83">
        <v>0</v>
      </c>
      <c r="D3" s="82">
        <v>634.71081600000002</v>
      </c>
      <c r="E3" s="83">
        <v>0</v>
      </c>
      <c r="F3" s="82">
        <v>483.88345889999999</v>
      </c>
      <c r="G3" s="83">
        <v>0</v>
      </c>
      <c r="H3" s="57">
        <v>0</v>
      </c>
      <c r="I3" s="57">
        <v>0</v>
      </c>
      <c r="J3" s="57">
        <v>0</v>
      </c>
      <c r="K3" s="57">
        <v>0</v>
      </c>
      <c r="L3" s="82">
        <v>504.44691310000002</v>
      </c>
      <c r="M3" s="83">
        <v>0</v>
      </c>
      <c r="N3" s="57">
        <v>0</v>
      </c>
      <c r="O3" s="57">
        <v>0</v>
      </c>
      <c r="P3" s="57">
        <v>0</v>
      </c>
      <c r="Q3" s="57">
        <v>0</v>
      </c>
      <c r="R3" s="82">
        <v>331.32756110000003</v>
      </c>
      <c r="S3" s="83">
        <v>0</v>
      </c>
    </row>
    <row r="4" spans="1:19" x14ac:dyDescent="0.25">
      <c r="A4" s="122" t="s">
        <v>39</v>
      </c>
      <c r="B4" s="57">
        <v>0</v>
      </c>
      <c r="C4" s="57">
        <v>0</v>
      </c>
      <c r="D4" s="57">
        <v>0</v>
      </c>
      <c r="E4" s="57">
        <v>0</v>
      </c>
      <c r="F4" s="57">
        <v>0</v>
      </c>
      <c r="G4" s="57">
        <v>0</v>
      </c>
      <c r="H4" s="57">
        <v>0</v>
      </c>
      <c r="I4" s="57">
        <v>0</v>
      </c>
      <c r="J4" s="57">
        <v>0</v>
      </c>
      <c r="K4" s="57">
        <v>0</v>
      </c>
      <c r="L4" s="57">
        <v>0</v>
      </c>
      <c r="M4" s="57">
        <v>0</v>
      </c>
      <c r="N4" s="57">
        <v>0</v>
      </c>
      <c r="O4" s="57">
        <v>0</v>
      </c>
      <c r="P4" s="57">
        <v>0</v>
      </c>
      <c r="Q4" s="57">
        <v>0</v>
      </c>
      <c r="R4" s="82">
        <v>435.81030090000002</v>
      </c>
      <c r="S4" s="83">
        <v>0</v>
      </c>
    </row>
    <row r="5" spans="1:19" x14ac:dyDescent="0.25">
      <c r="A5" s="122" t="s">
        <v>43</v>
      </c>
      <c r="B5" s="82">
        <v>728.76092989999995</v>
      </c>
      <c r="C5" s="83">
        <v>0</v>
      </c>
      <c r="D5" s="82">
        <v>712.0540919</v>
      </c>
      <c r="E5" s="83">
        <v>0</v>
      </c>
      <c r="F5" s="82">
        <v>748.32335939999996</v>
      </c>
      <c r="G5" s="83">
        <v>0</v>
      </c>
      <c r="H5" s="82">
        <v>610.80626759999996</v>
      </c>
      <c r="I5" s="83">
        <v>0</v>
      </c>
      <c r="J5" s="118">
        <v>0</v>
      </c>
      <c r="K5" s="118">
        <v>0</v>
      </c>
      <c r="L5" s="57">
        <v>0</v>
      </c>
      <c r="M5" s="57">
        <v>0</v>
      </c>
      <c r="N5" s="82">
        <v>620.08392670000001</v>
      </c>
      <c r="O5" s="83">
        <v>0</v>
      </c>
      <c r="P5" s="82">
        <v>584.45929279999996</v>
      </c>
      <c r="Q5" s="83">
        <v>0</v>
      </c>
      <c r="R5" s="82">
        <v>533.52845130000003</v>
      </c>
      <c r="S5" s="83">
        <v>0</v>
      </c>
    </row>
    <row r="6" spans="1:19" x14ac:dyDescent="0.25">
      <c r="A6" s="122" t="s">
        <v>46</v>
      </c>
      <c r="B6" s="82">
        <v>831.28077800000005</v>
      </c>
      <c r="C6" s="83">
        <v>0</v>
      </c>
      <c r="D6" s="82">
        <v>696.99885180000001</v>
      </c>
      <c r="E6" s="83">
        <v>0</v>
      </c>
      <c r="F6" s="82">
        <v>917.39536480000004</v>
      </c>
      <c r="G6" s="83">
        <v>0</v>
      </c>
      <c r="H6" s="82">
        <v>507.33405099999999</v>
      </c>
      <c r="I6" s="83">
        <v>0</v>
      </c>
      <c r="J6" s="118">
        <v>0</v>
      </c>
      <c r="K6" s="118">
        <v>0</v>
      </c>
      <c r="L6" s="57">
        <v>0</v>
      </c>
      <c r="M6" s="57">
        <v>0</v>
      </c>
      <c r="N6" s="82">
        <v>779.65416240000002</v>
      </c>
      <c r="O6" s="83">
        <v>0</v>
      </c>
      <c r="P6" s="82">
        <v>749.83738519999997</v>
      </c>
      <c r="Q6" s="83">
        <v>0</v>
      </c>
      <c r="R6" s="82">
        <v>653.53014429999996</v>
      </c>
      <c r="S6" s="83">
        <v>0</v>
      </c>
    </row>
    <row r="7" spans="1:19" x14ac:dyDescent="0.25">
      <c r="A7" s="122" t="s">
        <v>49</v>
      </c>
      <c r="B7" s="82">
        <v>659.8911124</v>
      </c>
      <c r="C7" s="83">
        <v>0</v>
      </c>
      <c r="D7" s="82">
        <v>640.24280239999996</v>
      </c>
      <c r="E7" s="83">
        <v>0</v>
      </c>
      <c r="F7" s="82">
        <v>605.6495433</v>
      </c>
      <c r="G7" s="83">
        <v>0</v>
      </c>
      <c r="H7" s="82">
        <v>431.64354730000002</v>
      </c>
      <c r="I7" s="83">
        <v>0</v>
      </c>
      <c r="J7" s="82">
        <v>848.75702269999999</v>
      </c>
      <c r="K7" s="83">
        <v>0</v>
      </c>
      <c r="L7" s="82">
        <v>608.24648920000004</v>
      </c>
      <c r="M7" s="83">
        <v>0</v>
      </c>
      <c r="N7" s="82">
        <v>569.78921290000005</v>
      </c>
      <c r="O7" s="83">
        <v>0</v>
      </c>
      <c r="P7" s="82">
        <v>515.67740209999999</v>
      </c>
      <c r="Q7" s="83">
        <v>0</v>
      </c>
      <c r="R7" s="82">
        <v>497.98770619999999</v>
      </c>
      <c r="S7" s="83">
        <v>0</v>
      </c>
    </row>
    <row r="8" spans="1:19" x14ac:dyDescent="0.25">
      <c r="A8" s="122" t="s">
        <v>52</v>
      </c>
      <c r="B8" s="82">
        <v>93.062773390000004</v>
      </c>
      <c r="C8" s="83">
        <v>0</v>
      </c>
      <c r="D8" s="82">
        <v>73.377235429999999</v>
      </c>
      <c r="E8" s="83">
        <v>0</v>
      </c>
      <c r="F8" s="82">
        <v>316.402153</v>
      </c>
      <c r="G8" s="83">
        <v>0</v>
      </c>
      <c r="H8" s="82">
        <v>35.106604429999997</v>
      </c>
      <c r="I8" s="83">
        <v>0</v>
      </c>
      <c r="J8" s="82">
        <v>355.54230680000001</v>
      </c>
      <c r="K8" s="83">
        <v>0</v>
      </c>
      <c r="L8" s="82">
        <v>71.288073069999996</v>
      </c>
      <c r="M8" s="83">
        <v>0</v>
      </c>
      <c r="N8" s="82">
        <v>134.31798240000001</v>
      </c>
      <c r="O8" s="83">
        <v>0</v>
      </c>
      <c r="P8" s="82">
        <v>121.0601087</v>
      </c>
      <c r="Q8" s="83">
        <v>0</v>
      </c>
      <c r="R8" s="82">
        <v>114.5641985</v>
      </c>
      <c r="S8" s="83">
        <v>0</v>
      </c>
    </row>
    <row r="9" spans="1:19" x14ac:dyDescent="0.25">
      <c r="A9" s="122" t="s">
        <v>64</v>
      </c>
      <c r="B9" s="82">
        <v>787.80753870000001</v>
      </c>
      <c r="C9" s="83">
        <v>0</v>
      </c>
      <c r="D9" s="82">
        <v>782.08803560000001</v>
      </c>
      <c r="E9" s="83">
        <v>0</v>
      </c>
      <c r="F9" s="82">
        <v>760.26964999999996</v>
      </c>
      <c r="G9" s="83">
        <v>0</v>
      </c>
      <c r="H9" s="82">
        <v>619.64914799999997</v>
      </c>
      <c r="I9" s="83">
        <v>0</v>
      </c>
      <c r="J9" s="82">
        <v>935.2711213</v>
      </c>
      <c r="K9" s="83">
        <v>0</v>
      </c>
      <c r="L9" s="82">
        <v>720.12297909999995</v>
      </c>
      <c r="M9" s="83">
        <v>0</v>
      </c>
      <c r="N9" s="82">
        <v>673.2589246</v>
      </c>
      <c r="O9" s="83">
        <v>0</v>
      </c>
      <c r="P9" s="82">
        <v>601.71418900000003</v>
      </c>
      <c r="Q9" s="83">
        <v>0</v>
      </c>
      <c r="R9" s="82">
        <v>549.35803290000001</v>
      </c>
      <c r="S9" s="83">
        <v>0</v>
      </c>
    </row>
    <row r="10" spans="1:19" x14ac:dyDescent="0.25">
      <c r="A10" s="122" t="s">
        <v>34</v>
      </c>
      <c r="B10" s="82">
        <v>817.03420110000002</v>
      </c>
      <c r="C10" s="83">
        <v>0</v>
      </c>
      <c r="D10" s="82">
        <v>864.50137759999996</v>
      </c>
      <c r="E10" s="83">
        <v>0</v>
      </c>
      <c r="F10" s="82">
        <v>735.18081459999996</v>
      </c>
      <c r="G10" s="83">
        <v>0</v>
      </c>
      <c r="H10" s="82">
        <v>944.13260500000001</v>
      </c>
      <c r="I10" s="83">
        <v>0</v>
      </c>
      <c r="J10" s="82">
        <v>999.01035990000003</v>
      </c>
      <c r="K10" s="83">
        <v>0</v>
      </c>
      <c r="L10" s="82">
        <v>728.8787787</v>
      </c>
      <c r="M10" s="83">
        <v>0</v>
      </c>
      <c r="N10" s="82">
        <v>640.26466970000001</v>
      </c>
      <c r="O10" s="83">
        <v>0</v>
      </c>
      <c r="P10" s="82">
        <v>547.76623600000005</v>
      </c>
      <c r="Q10" s="83">
        <v>0</v>
      </c>
      <c r="R10" s="82">
        <v>493.61955949999998</v>
      </c>
      <c r="S10" s="83">
        <v>0</v>
      </c>
    </row>
    <row r="11" spans="1:19" x14ac:dyDescent="0.25">
      <c r="A11" s="66"/>
      <c r="B11">
        <f>GetColorCountSynRecInt($B$2:$Q$9,A11)</f>
        <v>0</v>
      </c>
    </row>
    <row r="12" spans="1:19" x14ac:dyDescent="0.25">
      <c r="A12" s="68"/>
      <c r="B12">
        <f>GetColorCountSynRecInt($B$2:$Q$9,A12)</f>
        <v>0</v>
      </c>
    </row>
    <row r="13" spans="1:19" x14ac:dyDescent="0.25">
      <c r="A13" s="67"/>
      <c r="B13">
        <f>GetColorCountSynRecInt($B$2:$Q$9,A13)</f>
        <v>0</v>
      </c>
    </row>
    <row r="14" spans="1:19" x14ac:dyDescent="0.25">
      <c r="A14" s="79"/>
      <c r="B14">
        <f>GetColorCountSynRecInt($B$2:$Q$9,A14)</f>
        <v>48</v>
      </c>
    </row>
    <row r="15" spans="1:19" x14ac:dyDescent="0.25">
      <c r="A15" s="78"/>
      <c r="B15">
        <f>GetColorCountSynRecInt($B$2:$Q$9,A15)</f>
        <v>48</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16BBA-CC8F-4D06-B698-8FFCABDD87D8}">
  <sheetPr codeName="Sheet20"/>
  <dimension ref="A1:S9"/>
  <sheetViews>
    <sheetView workbookViewId="0"/>
  </sheetViews>
  <sheetFormatPr defaultColWidth="8.85546875" defaultRowHeight="15" x14ac:dyDescent="0.25"/>
  <cols>
    <col min="1" max="1" width="102.42578125" bestFit="1" customWidth="1"/>
    <col min="2" max="3" width="12.42578125" customWidth="1"/>
    <col min="8" max="9" width="14.7109375" customWidth="1"/>
    <col min="12" max="13" width="14" customWidth="1"/>
    <col min="14" max="15" width="14.28515625" customWidth="1"/>
    <col min="16" max="21" width="13" customWidth="1"/>
    <col min="22" max="22" width="14.42578125" customWidth="1"/>
    <col min="23" max="23" width="13" customWidth="1"/>
  </cols>
  <sheetData>
    <row r="1" spans="1:19" ht="93.75" x14ac:dyDescent="0.25">
      <c r="A1" s="18" t="s">
        <v>506</v>
      </c>
      <c r="B1" s="13" t="s">
        <v>608</v>
      </c>
      <c r="C1" s="13" t="s">
        <v>616</v>
      </c>
      <c r="D1" s="13" t="s">
        <v>609</v>
      </c>
      <c r="E1" s="13" t="s">
        <v>617</v>
      </c>
      <c r="F1" s="13" t="s">
        <v>610</v>
      </c>
      <c r="G1" s="13" t="s">
        <v>618</v>
      </c>
      <c r="H1" s="13" t="s">
        <v>611</v>
      </c>
      <c r="I1" s="13" t="s">
        <v>619</v>
      </c>
      <c r="J1" s="13" t="s">
        <v>612</v>
      </c>
      <c r="K1" s="13" t="s">
        <v>620</v>
      </c>
      <c r="L1" s="13" t="s">
        <v>613</v>
      </c>
      <c r="M1" s="13" t="s">
        <v>621</v>
      </c>
      <c r="N1" s="13" t="s">
        <v>696</v>
      </c>
      <c r="O1" s="13" t="s">
        <v>697</v>
      </c>
      <c r="P1" s="13" t="s">
        <v>614</v>
      </c>
      <c r="Q1" s="13" t="s">
        <v>622</v>
      </c>
      <c r="R1" s="13" t="s">
        <v>615</v>
      </c>
      <c r="S1" s="13" t="s">
        <v>623</v>
      </c>
    </row>
    <row r="2" spans="1:19" ht="18.75" x14ac:dyDescent="0.25">
      <c r="A2" s="13" t="s">
        <v>67</v>
      </c>
      <c r="B2" s="84">
        <v>750</v>
      </c>
      <c r="C2" s="85">
        <v>0</v>
      </c>
      <c r="D2" s="84">
        <v>750</v>
      </c>
      <c r="E2" s="85">
        <v>0</v>
      </c>
      <c r="F2" s="84">
        <v>750</v>
      </c>
      <c r="G2" s="85">
        <v>0</v>
      </c>
      <c r="H2" s="84">
        <v>750</v>
      </c>
      <c r="I2" s="85">
        <v>0</v>
      </c>
      <c r="J2" s="84">
        <v>750</v>
      </c>
      <c r="K2" s="85">
        <v>0</v>
      </c>
      <c r="L2" s="84">
        <v>750</v>
      </c>
      <c r="M2" s="85">
        <v>0</v>
      </c>
      <c r="N2" s="84">
        <v>750</v>
      </c>
      <c r="O2" s="85">
        <v>0</v>
      </c>
      <c r="P2" s="84">
        <v>750</v>
      </c>
      <c r="Q2" s="85">
        <v>0</v>
      </c>
      <c r="R2" s="84">
        <v>750</v>
      </c>
      <c r="S2" s="85">
        <v>0</v>
      </c>
    </row>
    <row r="3" spans="1:19" ht="18.75" x14ac:dyDescent="0.25">
      <c r="A3" s="13" t="s">
        <v>71</v>
      </c>
      <c r="B3" s="84">
        <v>750</v>
      </c>
      <c r="C3" s="85">
        <v>0</v>
      </c>
      <c r="D3" s="84">
        <v>750</v>
      </c>
      <c r="E3" s="85">
        <v>0</v>
      </c>
      <c r="F3" s="84">
        <v>750</v>
      </c>
      <c r="G3" s="85">
        <v>0</v>
      </c>
      <c r="H3" s="53">
        <v>0</v>
      </c>
      <c r="I3" s="53">
        <v>0</v>
      </c>
      <c r="J3" s="53">
        <v>0</v>
      </c>
      <c r="K3" s="53">
        <v>0</v>
      </c>
      <c r="L3" s="84">
        <v>750</v>
      </c>
      <c r="M3" s="85">
        <v>0</v>
      </c>
      <c r="N3" s="53">
        <v>0</v>
      </c>
      <c r="O3" s="53">
        <v>0</v>
      </c>
      <c r="P3" s="53">
        <v>0</v>
      </c>
      <c r="Q3" s="53">
        <v>0</v>
      </c>
      <c r="R3" s="84">
        <v>750</v>
      </c>
      <c r="S3" s="85">
        <v>0</v>
      </c>
    </row>
    <row r="5" spans="1:19" x14ac:dyDescent="0.25">
      <c r="A5" s="66"/>
      <c r="B5">
        <f>GetColorCountSynRecExt($B$2:$S$3,A5)</f>
        <v>0</v>
      </c>
    </row>
    <row r="6" spans="1:19" x14ac:dyDescent="0.25">
      <c r="A6" s="68"/>
      <c r="B6">
        <f>GetColorCountSynRecExt($B$2:$S$3,A6)</f>
        <v>0</v>
      </c>
    </row>
    <row r="7" spans="1:19" x14ac:dyDescent="0.25">
      <c r="A7" s="67"/>
      <c r="B7">
        <f>GetColorCountSynRecExt($B$2:$S$3,A7)</f>
        <v>0</v>
      </c>
    </row>
    <row r="8" spans="1:19" x14ac:dyDescent="0.25">
      <c r="A8" s="79"/>
      <c r="B8">
        <f>GetColorCountSynRecExt($B$2:$S$3,A8)</f>
        <v>14</v>
      </c>
    </row>
    <row r="9" spans="1:19" x14ac:dyDescent="0.25">
      <c r="A9" s="78"/>
      <c r="B9">
        <f>GetColorCountSynRecExt($B$2:$S$3,A9)</f>
        <v>14</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A531F-7016-49DF-A18F-3D4C19E4D5F7}">
  <sheetPr codeName="Sheet21"/>
  <dimension ref="A1:S14"/>
  <sheetViews>
    <sheetView workbookViewId="0"/>
  </sheetViews>
  <sheetFormatPr defaultColWidth="8.85546875" defaultRowHeight="15" x14ac:dyDescent="0.25"/>
  <cols>
    <col min="1" max="1" width="29.28515625"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4.5703125" customWidth="1"/>
    <col min="13" max="13" width="22.28515625" customWidth="1"/>
    <col min="14" max="14" width="21.140625" customWidth="1"/>
    <col min="15" max="15" width="18.85546875" customWidth="1"/>
    <col min="16" max="16" width="20.85546875" customWidth="1"/>
    <col min="17" max="17" width="18.5703125" customWidth="1"/>
    <col min="18" max="18" width="36.140625" customWidth="1"/>
    <col min="19" max="19" width="33.85546875" customWidth="1"/>
    <col min="20" max="20" width="16.5703125" customWidth="1"/>
    <col min="21" max="21" width="14.28515625" customWidth="1"/>
    <col min="22" max="22" width="20.7109375" customWidth="1"/>
    <col min="23" max="23" width="18.42578125" customWidth="1"/>
  </cols>
  <sheetData>
    <row r="1" spans="1:19" x14ac:dyDescent="0.25">
      <c r="A1" s="123" t="s">
        <v>702</v>
      </c>
      <c r="B1" s="123" t="s">
        <v>608</v>
      </c>
      <c r="C1" s="123" t="s">
        <v>616</v>
      </c>
      <c r="D1" s="123" t="s">
        <v>609</v>
      </c>
      <c r="E1" s="123" t="s">
        <v>617</v>
      </c>
      <c r="F1" s="123" t="s">
        <v>610</v>
      </c>
      <c r="G1" s="123" t="s">
        <v>618</v>
      </c>
      <c r="H1" s="123" t="s">
        <v>611</v>
      </c>
      <c r="I1" s="123" t="s">
        <v>619</v>
      </c>
      <c r="J1" s="123" t="s">
        <v>612</v>
      </c>
      <c r="K1" s="123" t="s">
        <v>620</v>
      </c>
      <c r="L1" s="123" t="s">
        <v>613</v>
      </c>
      <c r="M1" s="123" t="s">
        <v>621</v>
      </c>
      <c r="N1" s="123" t="s">
        <v>696</v>
      </c>
      <c r="O1" s="123" t="s">
        <v>697</v>
      </c>
      <c r="P1" s="123" t="s">
        <v>614</v>
      </c>
      <c r="Q1" s="123" t="s">
        <v>622</v>
      </c>
      <c r="R1" s="123" t="s">
        <v>615</v>
      </c>
      <c r="S1" s="123" t="s">
        <v>623</v>
      </c>
    </row>
    <row r="2" spans="1:19" x14ac:dyDescent="0.25">
      <c r="A2" s="123" t="s">
        <v>55</v>
      </c>
      <c r="B2" s="82">
        <v>10.81716065</v>
      </c>
      <c r="C2" s="83">
        <v>0</v>
      </c>
      <c r="D2" s="82">
        <v>9.8232629409999994</v>
      </c>
      <c r="E2" s="83">
        <v>0</v>
      </c>
      <c r="F2" s="82">
        <v>11.142996460000001</v>
      </c>
      <c r="G2" s="83">
        <v>0</v>
      </c>
      <c r="H2" s="82">
        <v>10.47037695</v>
      </c>
      <c r="I2" s="83">
        <v>0</v>
      </c>
      <c r="J2" s="82">
        <v>11.65219486</v>
      </c>
      <c r="K2" s="83">
        <v>0</v>
      </c>
      <c r="L2" s="82">
        <v>12.27059944</v>
      </c>
      <c r="M2" s="83">
        <v>0</v>
      </c>
      <c r="N2" s="82">
        <v>12.0464793</v>
      </c>
      <c r="O2" s="83">
        <v>0</v>
      </c>
      <c r="P2" s="82">
        <v>11.35966736</v>
      </c>
      <c r="Q2" s="83">
        <v>0</v>
      </c>
      <c r="R2" s="82">
        <v>13.34728338</v>
      </c>
      <c r="S2" s="83">
        <v>0</v>
      </c>
    </row>
    <row r="3" spans="1:19" x14ac:dyDescent="0.25">
      <c r="A3" s="123" t="s">
        <v>695</v>
      </c>
      <c r="B3" s="82">
        <v>11.19992774</v>
      </c>
      <c r="C3" s="83">
        <v>0</v>
      </c>
      <c r="D3" s="82">
        <v>10.143292349999999</v>
      </c>
      <c r="E3" s="83">
        <v>0</v>
      </c>
      <c r="F3" s="82">
        <v>11.56150272</v>
      </c>
      <c r="G3" s="83">
        <v>0</v>
      </c>
      <c r="H3" s="57">
        <v>0</v>
      </c>
      <c r="I3" s="57">
        <v>0</v>
      </c>
      <c r="J3" s="57">
        <v>0</v>
      </c>
      <c r="K3" s="57">
        <v>0</v>
      </c>
      <c r="L3" s="82">
        <v>12.820961690000001</v>
      </c>
      <c r="M3" s="83">
        <v>0</v>
      </c>
      <c r="N3" s="57">
        <v>0</v>
      </c>
      <c r="O3" s="57">
        <v>0</v>
      </c>
      <c r="P3" s="57">
        <v>0</v>
      </c>
      <c r="Q3" s="57">
        <v>0</v>
      </c>
      <c r="R3" s="82">
        <v>13.675978000000001</v>
      </c>
      <c r="S3" s="83">
        <v>0</v>
      </c>
    </row>
    <row r="4" spans="1:19" x14ac:dyDescent="0.25">
      <c r="A4" s="123" t="s">
        <v>39</v>
      </c>
      <c r="B4" s="57">
        <v>0</v>
      </c>
      <c r="C4" s="57">
        <v>0</v>
      </c>
      <c r="D4" s="57">
        <v>0</v>
      </c>
      <c r="E4" s="57">
        <v>0</v>
      </c>
      <c r="F4" s="57">
        <v>0</v>
      </c>
      <c r="G4" s="57">
        <v>0</v>
      </c>
      <c r="H4" s="57">
        <v>0</v>
      </c>
      <c r="I4" s="57">
        <v>0</v>
      </c>
      <c r="J4" s="57">
        <v>0</v>
      </c>
      <c r="K4" s="57">
        <v>0</v>
      </c>
      <c r="L4" s="57">
        <v>0</v>
      </c>
      <c r="M4" s="57">
        <v>0</v>
      </c>
      <c r="N4" s="57">
        <v>0</v>
      </c>
      <c r="O4" s="57">
        <v>0</v>
      </c>
      <c r="P4" s="57">
        <v>0</v>
      </c>
      <c r="Q4" s="57">
        <v>0</v>
      </c>
      <c r="R4" s="82">
        <v>10.711072509999999</v>
      </c>
      <c r="S4" s="83">
        <v>0</v>
      </c>
    </row>
    <row r="5" spans="1:19" x14ac:dyDescent="0.25">
      <c r="A5" s="123" t="s">
        <v>43</v>
      </c>
      <c r="B5" s="82">
        <v>9.1797173539999992</v>
      </c>
      <c r="C5" s="83">
        <v>0</v>
      </c>
      <c r="D5" s="82">
        <v>8.6009645090000006</v>
      </c>
      <c r="E5" s="83">
        <v>0</v>
      </c>
      <c r="F5" s="82">
        <v>9.6614952630000008</v>
      </c>
      <c r="G5" s="83">
        <v>0</v>
      </c>
      <c r="H5" s="82">
        <v>9.3169935269999993</v>
      </c>
      <c r="I5" s="83">
        <v>0</v>
      </c>
      <c r="J5" s="118">
        <v>0</v>
      </c>
      <c r="K5" s="118">
        <v>0</v>
      </c>
      <c r="L5" s="57">
        <v>0</v>
      </c>
      <c r="M5" s="57">
        <v>0</v>
      </c>
      <c r="N5" s="82">
        <v>9.9231526589999994</v>
      </c>
      <c r="O5" s="83">
        <v>0</v>
      </c>
      <c r="P5" s="82">
        <v>9.7621577399999993</v>
      </c>
      <c r="Q5" s="83">
        <v>0</v>
      </c>
      <c r="R5" s="82">
        <v>11.349643739999999</v>
      </c>
      <c r="S5" s="83">
        <v>0</v>
      </c>
    </row>
    <row r="6" spans="1:19" x14ac:dyDescent="0.25">
      <c r="A6" s="123" t="s">
        <v>46</v>
      </c>
      <c r="B6" s="82">
        <v>10.05633843</v>
      </c>
      <c r="C6" s="83">
        <v>0</v>
      </c>
      <c r="D6" s="82">
        <v>8.6431099469999992</v>
      </c>
      <c r="E6" s="83">
        <v>0</v>
      </c>
      <c r="F6" s="82">
        <v>10.66589323</v>
      </c>
      <c r="G6" s="83">
        <v>0</v>
      </c>
      <c r="H6" s="82">
        <v>9.4743398130000003</v>
      </c>
      <c r="I6" s="83">
        <v>0</v>
      </c>
      <c r="J6" s="118">
        <v>0</v>
      </c>
      <c r="K6" s="118">
        <v>0</v>
      </c>
      <c r="L6" s="57">
        <v>0</v>
      </c>
      <c r="M6" s="57">
        <v>0</v>
      </c>
      <c r="N6" s="82">
        <v>11.2959873</v>
      </c>
      <c r="O6" s="83">
        <v>0</v>
      </c>
      <c r="P6" s="82">
        <v>11.06113787</v>
      </c>
      <c r="Q6" s="83">
        <v>0</v>
      </c>
      <c r="R6" s="82">
        <v>12.69947786</v>
      </c>
      <c r="S6" s="83">
        <v>0</v>
      </c>
    </row>
    <row r="7" spans="1:19" x14ac:dyDescent="0.25">
      <c r="A7" s="123" t="s">
        <v>49</v>
      </c>
      <c r="B7" s="82">
        <v>9.4407320200000004</v>
      </c>
      <c r="C7" s="83">
        <v>0</v>
      </c>
      <c r="D7" s="82">
        <v>8.6657052740000005</v>
      </c>
      <c r="E7" s="83">
        <v>0</v>
      </c>
      <c r="F7" s="82">
        <v>9.3883717600000001</v>
      </c>
      <c r="G7" s="83">
        <v>0</v>
      </c>
      <c r="H7" s="82">
        <v>8.0698491059999995</v>
      </c>
      <c r="I7" s="83">
        <v>0</v>
      </c>
      <c r="J7" s="82">
        <v>9.962538125</v>
      </c>
      <c r="K7" s="83">
        <v>0</v>
      </c>
      <c r="L7" s="82">
        <v>10.4708284</v>
      </c>
      <c r="M7" s="83">
        <v>0</v>
      </c>
      <c r="N7" s="82">
        <v>10.30947514</v>
      </c>
      <c r="O7" s="83">
        <v>0</v>
      </c>
      <c r="P7" s="82">
        <v>9.8227428999999997</v>
      </c>
      <c r="Q7" s="83">
        <v>0</v>
      </c>
      <c r="R7" s="82">
        <v>11.706301590000001</v>
      </c>
      <c r="S7" s="83">
        <v>0</v>
      </c>
    </row>
    <row r="8" spans="1:19" x14ac:dyDescent="0.25">
      <c r="A8" s="123" t="s">
        <v>52</v>
      </c>
      <c r="B8" s="82">
        <v>7.1978488120000002</v>
      </c>
      <c r="C8" s="83">
        <v>0</v>
      </c>
      <c r="D8" s="82">
        <v>6.1050252800000004</v>
      </c>
      <c r="E8" s="83">
        <v>0</v>
      </c>
      <c r="F8" s="82">
        <v>9.8680141900000002</v>
      </c>
      <c r="G8" s="83">
        <v>0</v>
      </c>
      <c r="H8" s="82">
        <v>7.0617829849999998</v>
      </c>
      <c r="I8" s="83">
        <v>0</v>
      </c>
      <c r="J8" s="82">
        <v>9.8684197670000007</v>
      </c>
      <c r="K8" s="83">
        <v>0</v>
      </c>
      <c r="L8" s="82">
        <v>8.4445243100000003</v>
      </c>
      <c r="M8" s="83">
        <v>0</v>
      </c>
      <c r="N8" s="82">
        <v>9.1366108589999993</v>
      </c>
      <c r="O8" s="83">
        <v>0</v>
      </c>
      <c r="P8" s="82">
        <v>8.5787612190000004</v>
      </c>
      <c r="Q8" s="83">
        <v>0</v>
      </c>
      <c r="R8" s="82">
        <v>10.14648277</v>
      </c>
      <c r="S8" s="83">
        <v>0</v>
      </c>
    </row>
    <row r="9" spans="1:19" x14ac:dyDescent="0.25">
      <c r="A9" s="123" t="s">
        <v>64</v>
      </c>
      <c r="B9" s="82">
        <v>8.7931668399999996</v>
      </c>
      <c r="C9" s="83">
        <v>0</v>
      </c>
      <c r="D9" s="82">
        <v>8.0512249330000003</v>
      </c>
      <c r="E9" s="83">
        <v>0</v>
      </c>
      <c r="F9" s="82">
        <v>9.2864590939999996</v>
      </c>
      <c r="G9" s="83">
        <v>0</v>
      </c>
      <c r="H9" s="82">
        <v>8.0611134569999994</v>
      </c>
      <c r="I9" s="83">
        <v>0</v>
      </c>
      <c r="J9" s="82">
        <v>9.9395705809999999</v>
      </c>
      <c r="K9" s="83">
        <v>0</v>
      </c>
      <c r="L9" s="82">
        <v>10.029374389999999</v>
      </c>
      <c r="M9" s="83">
        <v>0</v>
      </c>
      <c r="N9" s="82">
        <v>9.9085083320000003</v>
      </c>
      <c r="O9" s="83">
        <v>0</v>
      </c>
      <c r="P9" s="82">
        <v>9.3152152939999997</v>
      </c>
      <c r="Q9" s="83">
        <v>0</v>
      </c>
      <c r="R9" s="82">
        <v>11.256457599999999</v>
      </c>
      <c r="S9" s="83">
        <v>0</v>
      </c>
    </row>
    <row r="10" spans="1:19" x14ac:dyDescent="0.25">
      <c r="A10" s="123" t="s">
        <v>34</v>
      </c>
      <c r="B10" s="82">
        <v>8.167547377</v>
      </c>
      <c r="C10" s="83">
        <v>0</v>
      </c>
      <c r="D10" s="82">
        <v>7.6783478560000002</v>
      </c>
      <c r="E10" s="83">
        <v>0</v>
      </c>
      <c r="F10" s="82">
        <v>8.1565131359999992</v>
      </c>
      <c r="G10" s="83">
        <v>0</v>
      </c>
      <c r="H10" s="82">
        <v>8.3575849610000006</v>
      </c>
      <c r="I10" s="83">
        <v>0</v>
      </c>
      <c r="J10" s="82">
        <v>8.4660116950000006</v>
      </c>
      <c r="K10" s="83">
        <v>0</v>
      </c>
      <c r="L10" s="82">
        <v>8.9703200439999993</v>
      </c>
      <c r="M10" s="83">
        <v>0</v>
      </c>
      <c r="N10" s="82">
        <v>8.817565535</v>
      </c>
      <c r="O10" s="83">
        <v>0</v>
      </c>
      <c r="P10" s="82">
        <v>8.2863455829999992</v>
      </c>
      <c r="Q10" s="83">
        <v>0</v>
      </c>
      <c r="R10" s="82">
        <v>10.817258649999999</v>
      </c>
      <c r="S10" s="83">
        <v>0</v>
      </c>
    </row>
    <row r="11" spans="1:19" x14ac:dyDescent="0.25">
      <c r="A11" s="68"/>
      <c r="B11">
        <f>GetColorCountSynDecayInt($B$2:$Q$9,A11)</f>
        <v>0</v>
      </c>
    </row>
    <row r="12" spans="1:19" x14ac:dyDescent="0.25">
      <c r="A12" s="67"/>
      <c r="B12">
        <f>GetColorCountSynDecayInt($B$2:$Q$9,A12)</f>
        <v>0</v>
      </c>
    </row>
    <row r="13" spans="1:19" x14ac:dyDescent="0.25">
      <c r="A13" s="79"/>
      <c r="B13">
        <f>GetColorCountSynDecayInt($B$2:$Q$9,A13)</f>
        <v>48</v>
      </c>
    </row>
    <row r="14" spans="1:19" x14ac:dyDescent="0.25">
      <c r="A14" s="78"/>
      <c r="B14">
        <f>GetColorCountSynDecayInt($B$2:$Q$9,A14)</f>
        <v>48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4ABC0-6EB4-4BF6-86B4-A1A7CACECB32}">
  <sheetPr codeName="Sheet22"/>
  <dimension ref="A1:S9"/>
  <sheetViews>
    <sheetView workbookViewId="0"/>
  </sheetViews>
  <sheetFormatPr defaultColWidth="8.85546875" defaultRowHeight="15" x14ac:dyDescent="0.25"/>
  <cols>
    <col min="1" max="1" width="102.42578125" bestFit="1" customWidth="1"/>
    <col min="2" max="3" width="12.42578125" customWidth="1"/>
    <col min="8" max="9" width="15.7109375" customWidth="1"/>
    <col min="12" max="13" width="12.7109375" customWidth="1"/>
    <col min="14" max="15" width="13.42578125" customWidth="1"/>
    <col min="16" max="17" width="13.140625" customWidth="1"/>
    <col min="18" max="21" width="14" customWidth="1"/>
    <col min="22" max="22" width="13" customWidth="1"/>
    <col min="23" max="23" width="12.7109375" customWidth="1"/>
  </cols>
  <sheetData>
    <row r="1" spans="1:19" ht="93.75" x14ac:dyDescent="0.25">
      <c r="A1" s="18" t="s">
        <v>507</v>
      </c>
      <c r="B1" s="13" t="s">
        <v>608</v>
      </c>
      <c r="C1" s="13" t="s">
        <v>616</v>
      </c>
      <c r="D1" s="13" t="s">
        <v>609</v>
      </c>
      <c r="E1" s="13" t="s">
        <v>617</v>
      </c>
      <c r="F1" s="13" t="s">
        <v>610</v>
      </c>
      <c r="G1" s="13" t="s">
        <v>618</v>
      </c>
      <c r="H1" s="13" t="s">
        <v>611</v>
      </c>
      <c r="I1" s="13" t="s">
        <v>619</v>
      </c>
      <c r="J1" s="13" t="s">
        <v>612</v>
      </c>
      <c r="K1" s="13" t="s">
        <v>620</v>
      </c>
      <c r="L1" s="13" t="s">
        <v>613</v>
      </c>
      <c r="M1" s="13" t="s">
        <v>621</v>
      </c>
      <c r="N1" s="13" t="s">
        <v>696</v>
      </c>
      <c r="O1" s="13" t="s">
        <v>697</v>
      </c>
      <c r="P1" s="13" t="s">
        <v>614</v>
      </c>
      <c r="Q1" s="13" t="s">
        <v>622</v>
      </c>
      <c r="R1" s="13" t="s">
        <v>615</v>
      </c>
      <c r="S1" s="13" t="s">
        <v>623</v>
      </c>
    </row>
    <row r="2" spans="1:19" ht="18.75" x14ac:dyDescent="0.25">
      <c r="A2" s="13" t="s">
        <v>67</v>
      </c>
      <c r="B2" s="84">
        <v>5</v>
      </c>
      <c r="C2" s="85">
        <v>0</v>
      </c>
      <c r="D2" s="84">
        <v>5</v>
      </c>
      <c r="E2" s="85">
        <v>0</v>
      </c>
      <c r="F2" s="84">
        <v>5</v>
      </c>
      <c r="G2" s="85">
        <v>0</v>
      </c>
      <c r="H2" s="84">
        <v>5</v>
      </c>
      <c r="I2" s="85">
        <v>0</v>
      </c>
      <c r="J2" s="84">
        <v>5</v>
      </c>
      <c r="K2" s="85">
        <v>0</v>
      </c>
      <c r="L2" s="84">
        <v>5</v>
      </c>
      <c r="M2" s="85">
        <v>0</v>
      </c>
      <c r="N2" s="84">
        <v>5</v>
      </c>
      <c r="O2" s="85">
        <v>0</v>
      </c>
      <c r="P2" s="84">
        <v>5</v>
      </c>
      <c r="Q2" s="85">
        <v>0</v>
      </c>
      <c r="R2" s="84">
        <v>5</v>
      </c>
      <c r="S2" s="85">
        <v>0</v>
      </c>
    </row>
    <row r="3" spans="1:19" ht="18.75" x14ac:dyDescent="0.25">
      <c r="A3" s="13" t="s">
        <v>71</v>
      </c>
      <c r="B3" s="84">
        <v>5</v>
      </c>
      <c r="C3" s="85">
        <v>0</v>
      </c>
      <c r="D3" s="84">
        <v>5</v>
      </c>
      <c r="E3" s="85">
        <v>0</v>
      </c>
      <c r="F3" s="84">
        <v>5</v>
      </c>
      <c r="G3" s="85">
        <v>0</v>
      </c>
      <c r="H3" s="53">
        <v>0</v>
      </c>
      <c r="I3" s="53">
        <v>0</v>
      </c>
      <c r="J3" s="53">
        <v>0</v>
      </c>
      <c r="K3" s="53">
        <v>0</v>
      </c>
      <c r="L3" s="84">
        <v>5</v>
      </c>
      <c r="M3" s="85">
        <v>0</v>
      </c>
      <c r="N3" s="53">
        <v>0</v>
      </c>
      <c r="O3" s="53">
        <v>0</v>
      </c>
      <c r="P3" s="53">
        <v>0</v>
      </c>
      <c r="Q3" s="53">
        <v>0</v>
      </c>
      <c r="R3" s="84">
        <v>5</v>
      </c>
      <c r="S3" s="85">
        <v>0</v>
      </c>
    </row>
    <row r="5" spans="1:19" x14ac:dyDescent="0.25">
      <c r="A5" s="66"/>
      <c r="B5">
        <f>GetColorCountSynDecayExt($B$2:$S$3,A5)</f>
        <v>0</v>
      </c>
    </row>
    <row r="6" spans="1:19" x14ac:dyDescent="0.25">
      <c r="A6" s="68"/>
      <c r="B6">
        <f>GetColorCountSynDecayExt($B$2:$S$3,A6)</f>
        <v>0</v>
      </c>
    </row>
    <row r="7" spans="1:19" x14ac:dyDescent="0.25">
      <c r="A7" s="67"/>
      <c r="B7">
        <f>GetColorCountSynDecayExt($B$2:$S$3,A7)</f>
        <v>0</v>
      </c>
    </row>
    <row r="8" spans="1:19" x14ac:dyDescent="0.25">
      <c r="A8" s="79"/>
      <c r="B8">
        <f>GetColorCountSynDecayExt($B$2:$S$3,A8)</f>
        <v>14</v>
      </c>
    </row>
    <row r="9" spans="1:19" x14ac:dyDescent="0.25">
      <c r="A9" s="78"/>
      <c r="B9">
        <f>GetColorCountSynDecayExt($B$2:$S$3,A9)</f>
        <v>14</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9FA44-A9E0-47D8-819C-23897B3B41FB}">
  <sheetPr codeName="Sheet23"/>
  <dimension ref="A1:S14"/>
  <sheetViews>
    <sheetView workbookViewId="0"/>
  </sheetViews>
  <sheetFormatPr defaultColWidth="8.85546875" defaultRowHeight="15" x14ac:dyDescent="0.25"/>
  <cols>
    <col min="1" max="1" width="29.28515625"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4.5703125" customWidth="1"/>
    <col min="13" max="13" width="22.28515625" customWidth="1"/>
    <col min="14" max="14" width="21.140625" customWidth="1"/>
    <col min="15" max="15" width="18.85546875" customWidth="1"/>
    <col min="16" max="16" width="20.85546875" customWidth="1"/>
    <col min="17" max="17" width="18.5703125" customWidth="1"/>
    <col min="18" max="18" width="36.140625" customWidth="1"/>
    <col min="19" max="19" width="33.85546875" customWidth="1"/>
    <col min="20" max="20" width="16.5703125" customWidth="1"/>
    <col min="21" max="21" width="14.28515625" customWidth="1"/>
    <col min="22" max="22" width="20.7109375" customWidth="1"/>
    <col min="23" max="23" width="18.42578125" customWidth="1"/>
  </cols>
  <sheetData>
    <row r="1" spans="1:19" x14ac:dyDescent="0.25">
      <c r="A1" s="124" t="s">
        <v>701</v>
      </c>
      <c r="B1" s="124" t="s">
        <v>608</v>
      </c>
      <c r="C1" s="124" t="s">
        <v>616</v>
      </c>
      <c r="D1" s="124" t="s">
        <v>609</v>
      </c>
      <c r="E1" s="124" t="s">
        <v>617</v>
      </c>
      <c r="F1" s="124" t="s">
        <v>610</v>
      </c>
      <c r="G1" s="124" t="s">
        <v>618</v>
      </c>
      <c r="H1" s="124" t="s">
        <v>611</v>
      </c>
      <c r="I1" s="124" t="s">
        <v>619</v>
      </c>
      <c r="J1" s="124" t="s">
        <v>612</v>
      </c>
      <c r="K1" s="124" t="s">
        <v>620</v>
      </c>
      <c r="L1" s="124" t="s">
        <v>613</v>
      </c>
      <c r="M1" s="124" t="s">
        <v>621</v>
      </c>
      <c r="N1" s="124" t="s">
        <v>696</v>
      </c>
      <c r="O1" s="124" t="s">
        <v>697</v>
      </c>
      <c r="P1" s="124" t="s">
        <v>614</v>
      </c>
      <c r="Q1" s="124" t="s">
        <v>622</v>
      </c>
      <c r="R1" s="124" t="s">
        <v>615</v>
      </c>
      <c r="S1" s="124" t="s">
        <v>623</v>
      </c>
    </row>
    <row r="2" spans="1:19" x14ac:dyDescent="0.25">
      <c r="A2" s="124" t="s">
        <v>55</v>
      </c>
      <c r="B2" s="82">
        <v>51.327992600000002</v>
      </c>
      <c r="C2" s="83">
        <v>0</v>
      </c>
      <c r="D2" s="82">
        <v>25.924825989999999</v>
      </c>
      <c r="E2" s="83">
        <v>0</v>
      </c>
      <c r="F2" s="82">
        <v>51.56911788</v>
      </c>
      <c r="G2" s="83">
        <v>0</v>
      </c>
      <c r="H2" s="82">
        <v>23.792193340000001</v>
      </c>
      <c r="I2" s="83">
        <v>0</v>
      </c>
      <c r="J2" s="82">
        <v>20.448775380000001</v>
      </c>
      <c r="K2" s="83">
        <v>0</v>
      </c>
      <c r="L2" s="82">
        <v>66.576933229999995</v>
      </c>
      <c r="M2" s="83">
        <v>0</v>
      </c>
      <c r="N2" s="82">
        <v>65.186731649999999</v>
      </c>
      <c r="O2" s="83">
        <v>0</v>
      </c>
      <c r="P2" s="82">
        <v>67.012564639999994</v>
      </c>
      <c r="Q2" s="83">
        <v>0</v>
      </c>
      <c r="R2" s="82">
        <v>66.641592689999996</v>
      </c>
      <c r="S2" s="83">
        <v>0</v>
      </c>
    </row>
    <row r="3" spans="1:19" x14ac:dyDescent="0.25">
      <c r="A3" s="124" t="s">
        <v>695</v>
      </c>
      <c r="B3" s="82">
        <v>39.734100169999998</v>
      </c>
      <c r="C3" s="83">
        <v>0</v>
      </c>
      <c r="D3" s="82">
        <v>23.728755660000001</v>
      </c>
      <c r="E3" s="83">
        <v>0</v>
      </c>
      <c r="F3" s="82">
        <v>39.962078460000001</v>
      </c>
      <c r="G3" s="83">
        <v>0</v>
      </c>
      <c r="H3" s="57">
        <v>0</v>
      </c>
      <c r="I3" s="57">
        <v>0</v>
      </c>
      <c r="J3" s="57">
        <v>0</v>
      </c>
      <c r="K3" s="57">
        <v>0</v>
      </c>
      <c r="L3" s="82">
        <v>54.705790970000002</v>
      </c>
      <c r="M3" s="83">
        <v>0</v>
      </c>
      <c r="N3" s="57">
        <v>0</v>
      </c>
      <c r="O3" s="57">
        <v>0</v>
      </c>
      <c r="P3" s="57">
        <v>0</v>
      </c>
      <c r="Q3" s="57">
        <v>0</v>
      </c>
      <c r="R3" s="82">
        <v>50.75642594</v>
      </c>
      <c r="S3" s="83">
        <v>0</v>
      </c>
    </row>
    <row r="4" spans="1:19" x14ac:dyDescent="0.25">
      <c r="A4" s="124" t="s">
        <v>39</v>
      </c>
      <c r="B4" s="57">
        <v>0</v>
      </c>
      <c r="C4" s="57">
        <v>0</v>
      </c>
      <c r="D4" s="57">
        <v>0</v>
      </c>
      <c r="E4" s="57">
        <v>0</v>
      </c>
      <c r="F4" s="57">
        <v>0</v>
      </c>
      <c r="G4" s="57">
        <v>0</v>
      </c>
      <c r="H4" s="57">
        <v>0</v>
      </c>
      <c r="I4" s="57">
        <v>0</v>
      </c>
      <c r="J4" s="57">
        <v>0</v>
      </c>
      <c r="K4" s="57">
        <v>0</v>
      </c>
      <c r="L4" s="57">
        <v>0</v>
      </c>
      <c r="M4" s="57">
        <v>0</v>
      </c>
      <c r="N4" s="57">
        <v>0</v>
      </c>
      <c r="O4" s="57">
        <v>0</v>
      </c>
      <c r="P4" s="57">
        <v>0</v>
      </c>
      <c r="Q4" s="57">
        <v>0</v>
      </c>
      <c r="R4" s="82">
        <v>17.20004939</v>
      </c>
      <c r="S4" s="83">
        <v>0</v>
      </c>
    </row>
    <row r="5" spans="1:19" x14ac:dyDescent="0.25">
      <c r="A5" s="124" t="s">
        <v>43</v>
      </c>
      <c r="B5" s="82">
        <v>21.55840998</v>
      </c>
      <c r="C5" s="83">
        <v>0</v>
      </c>
      <c r="D5" s="82">
        <v>16.915562739999999</v>
      </c>
      <c r="E5" s="83">
        <v>0</v>
      </c>
      <c r="F5" s="82">
        <v>15.50819894</v>
      </c>
      <c r="G5" s="83">
        <v>0</v>
      </c>
      <c r="H5" s="82">
        <v>9.9367304290000007</v>
      </c>
      <c r="I5" s="83">
        <v>0</v>
      </c>
      <c r="J5" s="118">
        <v>0</v>
      </c>
      <c r="K5" s="118">
        <v>0</v>
      </c>
      <c r="L5" s="57">
        <v>0</v>
      </c>
      <c r="M5" s="57">
        <v>0</v>
      </c>
      <c r="N5" s="82">
        <v>18.252100280000001</v>
      </c>
      <c r="O5" s="83">
        <v>0</v>
      </c>
      <c r="P5" s="82">
        <v>22.063076680000002</v>
      </c>
      <c r="Q5" s="83">
        <v>0</v>
      </c>
      <c r="R5" s="82">
        <v>17.52835258</v>
      </c>
      <c r="S5" s="83">
        <v>0</v>
      </c>
    </row>
    <row r="6" spans="1:19" x14ac:dyDescent="0.25">
      <c r="A6" s="124" t="s">
        <v>46</v>
      </c>
      <c r="B6" s="82">
        <v>22.957398189999999</v>
      </c>
      <c r="C6" s="83">
        <v>0</v>
      </c>
      <c r="D6" s="82">
        <v>19.101466030000001</v>
      </c>
      <c r="E6" s="83">
        <v>0</v>
      </c>
      <c r="F6" s="82">
        <v>17.344137709999998</v>
      </c>
      <c r="G6" s="83">
        <v>0</v>
      </c>
      <c r="H6" s="82">
        <v>12.214706400000001</v>
      </c>
      <c r="I6" s="83">
        <v>0</v>
      </c>
      <c r="J6" s="118">
        <v>0</v>
      </c>
      <c r="K6" s="118">
        <v>0</v>
      </c>
      <c r="L6" s="57">
        <v>0</v>
      </c>
      <c r="M6" s="57">
        <v>0</v>
      </c>
      <c r="N6" s="82">
        <v>22.820228669999999</v>
      </c>
      <c r="O6" s="83">
        <v>0</v>
      </c>
      <c r="P6" s="82">
        <v>27.722508439999999</v>
      </c>
      <c r="Q6" s="83">
        <v>0</v>
      </c>
      <c r="R6" s="82">
        <v>25.032555410000001</v>
      </c>
      <c r="S6" s="83">
        <v>0</v>
      </c>
    </row>
    <row r="7" spans="1:19" x14ac:dyDescent="0.25">
      <c r="A7" s="124" t="s">
        <v>49</v>
      </c>
      <c r="B7" s="82">
        <v>34.29954214</v>
      </c>
      <c r="C7" s="83">
        <v>0</v>
      </c>
      <c r="D7" s="82">
        <v>22.640803080000001</v>
      </c>
      <c r="E7" s="83">
        <v>0</v>
      </c>
      <c r="F7" s="82">
        <v>39.257630300000002</v>
      </c>
      <c r="G7" s="83">
        <v>0</v>
      </c>
      <c r="H7" s="82">
        <v>10.792818280000001</v>
      </c>
      <c r="I7" s="83">
        <v>0</v>
      </c>
      <c r="J7" s="82">
        <v>21.032083060000001</v>
      </c>
      <c r="K7" s="83">
        <v>0</v>
      </c>
      <c r="L7" s="82">
        <v>37.289621619999998</v>
      </c>
      <c r="M7" s="83">
        <v>0</v>
      </c>
      <c r="N7" s="82">
        <v>41.549571970000002</v>
      </c>
      <c r="O7" s="83">
        <v>0</v>
      </c>
      <c r="P7" s="82">
        <v>49.454057229999997</v>
      </c>
      <c r="Q7" s="83">
        <v>0</v>
      </c>
      <c r="R7" s="82">
        <v>39.759455639999999</v>
      </c>
      <c r="S7" s="83">
        <v>0</v>
      </c>
    </row>
    <row r="8" spans="1:19" x14ac:dyDescent="0.25">
      <c r="A8" s="124" t="s">
        <v>52</v>
      </c>
      <c r="B8" s="82">
        <v>13.58698624</v>
      </c>
      <c r="C8" s="83">
        <v>0</v>
      </c>
      <c r="D8" s="82">
        <v>6.0979501559999996</v>
      </c>
      <c r="E8" s="83">
        <v>0</v>
      </c>
      <c r="F8" s="82">
        <v>21.530903970000001</v>
      </c>
      <c r="G8" s="83">
        <v>0</v>
      </c>
      <c r="H8" s="82">
        <v>3.1677142850000002</v>
      </c>
      <c r="I8" s="83">
        <v>0</v>
      </c>
      <c r="J8" s="82">
        <v>12.53347413</v>
      </c>
      <c r="K8" s="83">
        <v>0</v>
      </c>
      <c r="L8" s="82">
        <v>8.5875410429999999</v>
      </c>
      <c r="M8" s="83">
        <v>0</v>
      </c>
      <c r="N8" s="82">
        <v>20.246141389999998</v>
      </c>
      <c r="O8" s="83">
        <v>0</v>
      </c>
      <c r="P8" s="82">
        <v>21.05536743</v>
      </c>
      <c r="Q8" s="83">
        <v>0</v>
      </c>
      <c r="R8" s="82">
        <v>18.28338527</v>
      </c>
      <c r="S8" s="83">
        <v>0</v>
      </c>
    </row>
    <row r="9" spans="1:19" x14ac:dyDescent="0.25">
      <c r="A9" s="124" t="s">
        <v>64</v>
      </c>
      <c r="B9" s="82">
        <v>47.812367530000003</v>
      </c>
      <c r="C9" s="83">
        <v>0</v>
      </c>
      <c r="D9" s="82">
        <v>23.258497370000001</v>
      </c>
      <c r="E9" s="83">
        <v>0</v>
      </c>
      <c r="F9" s="82">
        <v>45.408554010000003</v>
      </c>
      <c r="G9" s="83">
        <v>0</v>
      </c>
      <c r="H9" s="82">
        <v>17.241102999999999</v>
      </c>
      <c r="I9" s="83">
        <v>0</v>
      </c>
      <c r="J9" s="82">
        <v>21.012554779999999</v>
      </c>
      <c r="K9" s="83">
        <v>0</v>
      </c>
      <c r="L9" s="82">
        <v>63.595740720000002</v>
      </c>
      <c r="M9" s="83">
        <v>0</v>
      </c>
      <c r="N9" s="82">
        <v>63.659296159999997</v>
      </c>
      <c r="O9" s="83">
        <v>0</v>
      </c>
      <c r="P9" s="82">
        <v>67.391831159999995</v>
      </c>
      <c r="Q9" s="83">
        <v>0</v>
      </c>
      <c r="R9" s="82">
        <v>65.619722789999997</v>
      </c>
      <c r="S9" s="83">
        <v>0</v>
      </c>
    </row>
    <row r="10" spans="1:19" x14ac:dyDescent="0.25">
      <c r="A10" s="124" t="s">
        <v>34</v>
      </c>
      <c r="B10" s="82">
        <v>33.428203320000001</v>
      </c>
      <c r="C10" s="83">
        <v>0</v>
      </c>
      <c r="D10" s="82">
        <v>25.734060639999999</v>
      </c>
      <c r="E10" s="83">
        <v>0</v>
      </c>
      <c r="F10" s="82">
        <v>28.321823420000001</v>
      </c>
      <c r="G10" s="83">
        <v>0</v>
      </c>
      <c r="H10" s="82">
        <v>21.266427799999999</v>
      </c>
      <c r="I10" s="83">
        <v>0</v>
      </c>
      <c r="J10" s="82">
        <v>22.850633590000001</v>
      </c>
      <c r="K10" s="83">
        <v>0</v>
      </c>
      <c r="L10" s="82">
        <v>37.687354059999997</v>
      </c>
      <c r="M10" s="83">
        <v>0</v>
      </c>
      <c r="N10" s="82">
        <v>37.891558760000002</v>
      </c>
      <c r="O10" s="83">
        <v>0</v>
      </c>
      <c r="P10" s="82">
        <v>45.213377479999998</v>
      </c>
      <c r="Q10" s="83">
        <v>0</v>
      </c>
      <c r="R10" s="82">
        <v>39.414097580000004</v>
      </c>
      <c r="S10" s="83">
        <v>0</v>
      </c>
    </row>
    <row r="11" spans="1:19" x14ac:dyDescent="0.25">
      <c r="A11" s="68"/>
      <c r="B11">
        <f>GetColorCountSynFacilInt($B$2:$Q$9,A11)</f>
        <v>0</v>
      </c>
    </row>
    <row r="12" spans="1:19" x14ac:dyDescent="0.25">
      <c r="A12" s="67"/>
      <c r="B12">
        <f>GetColorCountSynFacilInt($B$2:$Q$9,A12)</f>
        <v>0</v>
      </c>
    </row>
    <row r="13" spans="1:19" x14ac:dyDescent="0.25">
      <c r="A13" s="79"/>
      <c r="B13">
        <f>GetColorCountSynFacilInt($B$2:$Q$9,A13)</f>
        <v>48</v>
      </c>
    </row>
    <row r="14" spans="1:19" x14ac:dyDescent="0.25">
      <c r="A14" s="78"/>
      <c r="B14">
        <f>GetColorCountSynFacilInt($B$2:$Q$9,A14)</f>
        <v>48</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C5E069-D8BD-4C40-A157-3FA0AD3D9D5E}">
  <sheetPr codeName="Sheet24"/>
  <dimension ref="A1:S9"/>
  <sheetViews>
    <sheetView workbookViewId="0"/>
  </sheetViews>
  <sheetFormatPr defaultColWidth="8.85546875" defaultRowHeight="15" x14ac:dyDescent="0.25"/>
  <cols>
    <col min="1" max="1" width="97.42578125" bestFit="1" customWidth="1"/>
    <col min="2" max="3" width="12.42578125" customWidth="1"/>
    <col min="8" max="9" width="13.85546875" customWidth="1"/>
    <col min="12" max="13" width="13.42578125" customWidth="1"/>
    <col min="14" max="15" width="12" customWidth="1"/>
    <col min="16" max="17" width="14.85546875" customWidth="1"/>
    <col min="18" max="21" width="13.42578125" customWidth="1"/>
    <col min="22" max="22" width="14.42578125" customWidth="1"/>
    <col min="23" max="23" width="13.7109375" customWidth="1"/>
  </cols>
  <sheetData>
    <row r="1" spans="1:19" ht="93.75" x14ac:dyDescent="0.25">
      <c r="A1" s="47" t="s">
        <v>508</v>
      </c>
      <c r="B1" s="13" t="s">
        <v>608</v>
      </c>
      <c r="C1" s="13" t="s">
        <v>616</v>
      </c>
      <c r="D1" s="13" t="s">
        <v>609</v>
      </c>
      <c r="E1" s="13" t="s">
        <v>617</v>
      </c>
      <c r="F1" s="13" t="s">
        <v>610</v>
      </c>
      <c r="G1" s="13" t="s">
        <v>618</v>
      </c>
      <c r="H1" s="13" t="s">
        <v>611</v>
      </c>
      <c r="I1" s="13" t="s">
        <v>619</v>
      </c>
      <c r="J1" s="13" t="s">
        <v>612</v>
      </c>
      <c r="K1" s="13" t="s">
        <v>620</v>
      </c>
      <c r="L1" s="13" t="s">
        <v>613</v>
      </c>
      <c r="M1" s="13" t="s">
        <v>621</v>
      </c>
      <c r="N1" s="13" t="s">
        <v>696</v>
      </c>
      <c r="O1" s="13" t="s">
        <v>697</v>
      </c>
      <c r="P1" s="13" t="s">
        <v>614</v>
      </c>
      <c r="Q1" s="13" t="s">
        <v>622</v>
      </c>
      <c r="R1" s="13" t="s">
        <v>615</v>
      </c>
      <c r="S1" s="13" t="s">
        <v>623</v>
      </c>
    </row>
    <row r="2" spans="1:19" ht="18.75" x14ac:dyDescent="0.25">
      <c r="A2" s="13" t="s">
        <v>67</v>
      </c>
      <c r="B2" s="84">
        <v>50</v>
      </c>
      <c r="C2" s="85">
        <v>0</v>
      </c>
      <c r="D2" s="84">
        <v>50</v>
      </c>
      <c r="E2" s="85">
        <v>0</v>
      </c>
      <c r="F2" s="84">
        <v>50</v>
      </c>
      <c r="G2" s="85">
        <v>0</v>
      </c>
      <c r="H2" s="84">
        <v>50</v>
      </c>
      <c r="I2" s="85">
        <v>0</v>
      </c>
      <c r="J2" s="84">
        <v>50</v>
      </c>
      <c r="K2" s="85">
        <v>0</v>
      </c>
      <c r="L2" s="84">
        <v>50</v>
      </c>
      <c r="M2" s="85">
        <v>0</v>
      </c>
      <c r="N2" s="84">
        <v>50</v>
      </c>
      <c r="O2" s="85">
        <v>0</v>
      </c>
      <c r="P2" s="84">
        <v>50</v>
      </c>
      <c r="Q2" s="85">
        <v>0</v>
      </c>
      <c r="R2" s="84">
        <v>50</v>
      </c>
      <c r="S2" s="85">
        <v>0</v>
      </c>
    </row>
    <row r="3" spans="1:19" ht="18.75" x14ac:dyDescent="0.25">
      <c r="A3" s="13" t="s">
        <v>71</v>
      </c>
      <c r="B3" s="84">
        <v>50</v>
      </c>
      <c r="C3" s="85">
        <v>0</v>
      </c>
      <c r="D3" s="84">
        <v>50</v>
      </c>
      <c r="E3" s="85">
        <v>0</v>
      </c>
      <c r="F3" s="84">
        <v>50</v>
      </c>
      <c r="G3" s="85">
        <v>0</v>
      </c>
      <c r="H3" s="53">
        <v>0</v>
      </c>
      <c r="I3" s="53">
        <v>0</v>
      </c>
      <c r="J3" s="53">
        <v>0</v>
      </c>
      <c r="K3" s="53">
        <v>0</v>
      </c>
      <c r="L3" s="84">
        <v>50</v>
      </c>
      <c r="M3" s="85">
        <v>0</v>
      </c>
      <c r="N3" s="53">
        <v>0</v>
      </c>
      <c r="O3" s="53">
        <v>0</v>
      </c>
      <c r="P3" s="53">
        <v>0</v>
      </c>
      <c r="Q3" s="53">
        <v>0</v>
      </c>
      <c r="R3" s="84">
        <v>50</v>
      </c>
      <c r="S3" s="85">
        <v>0</v>
      </c>
    </row>
    <row r="5" spans="1:19" x14ac:dyDescent="0.25">
      <c r="A5" s="66"/>
      <c r="B5">
        <f>GetColorCountSynFacilExt($B$2:$S$3,A5)</f>
        <v>0</v>
      </c>
    </row>
    <row r="6" spans="1:19" x14ac:dyDescent="0.25">
      <c r="A6" s="68"/>
      <c r="B6">
        <f>GetColorCountSynFacilExt($B$2:$S$3,A6)</f>
        <v>0</v>
      </c>
    </row>
    <row r="7" spans="1:19" x14ac:dyDescent="0.25">
      <c r="A7" s="67"/>
      <c r="B7">
        <f>GetColorCountSynFacilExt($B$2:$S$3,A7)</f>
        <v>0</v>
      </c>
    </row>
    <row r="8" spans="1:19" x14ac:dyDescent="0.25">
      <c r="A8" s="79"/>
      <c r="B8">
        <f>GetColorCountSynFacilExt($B$2:$S$3,A8)</f>
        <v>14</v>
      </c>
    </row>
    <row r="9" spans="1:19" x14ac:dyDescent="0.25">
      <c r="A9" s="78"/>
      <c r="B9">
        <f>GetColorCountSynFacilExt($B$2:$S$3,A9)</f>
        <v>14</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44833-00EE-4FB2-BC32-1C2AF0F8F90F}">
  <dimension ref="A1:K113"/>
  <sheetViews>
    <sheetView zoomScale="125" workbookViewId="0"/>
  </sheetViews>
  <sheetFormatPr defaultColWidth="8.85546875" defaultRowHeight="15" x14ac:dyDescent="0.25"/>
  <cols>
    <col min="1" max="10" width="16.42578125" customWidth="1"/>
    <col min="11" max="11" width="17.7109375" customWidth="1"/>
  </cols>
  <sheetData>
    <row r="1" spans="1:2" ht="30" x14ac:dyDescent="0.25">
      <c r="A1" s="46" t="s">
        <v>392</v>
      </c>
      <c r="B1" s="46" t="s">
        <v>682</v>
      </c>
    </row>
    <row r="2" spans="1:2" ht="37.5" x14ac:dyDescent="0.25">
      <c r="A2" s="13" t="s">
        <v>55</v>
      </c>
      <c r="B2" s="54">
        <v>855</v>
      </c>
    </row>
    <row r="3" spans="1:2" ht="37.5" x14ac:dyDescent="0.25">
      <c r="A3" s="13" t="s">
        <v>58</v>
      </c>
      <c r="B3" s="54">
        <v>2025</v>
      </c>
    </row>
    <row r="4" spans="1:2" ht="37.5" x14ac:dyDescent="0.25">
      <c r="A4" s="13" t="s">
        <v>39</v>
      </c>
      <c r="B4" s="54">
        <v>771</v>
      </c>
    </row>
    <row r="5" spans="1:2" ht="18.75" x14ac:dyDescent="0.25">
      <c r="A5" s="13" t="s">
        <v>43</v>
      </c>
      <c r="B5" s="54">
        <v>771</v>
      </c>
    </row>
    <row r="6" spans="1:2" ht="18.75" x14ac:dyDescent="0.25">
      <c r="A6" s="13" t="s">
        <v>46</v>
      </c>
      <c r="B6" s="54">
        <v>771</v>
      </c>
    </row>
    <row r="7" spans="1:2" ht="37.5" x14ac:dyDescent="0.25">
      <c r="A7" s="13" t="s">
        <v>49</v>
      </c>
      <c r="B7" s="54">
        <v>1118</v>
      </c>
    </row>
    <row r="8" spans="1:2" ht="18.75" x14ac:dyDescent="0.25">
      <c r="A8" s="13" t="s">
        <v>52</v>
      </c>
      <c r="B8" s="54">
        <v>5475</v>
      </c>
    </row>
    <row r="9" spans="1:2" ht="37.5" x14ac:dyDescent="0.25">
      <c r="A9" s="13" t="s">
        <v>61</v>
      </c>
      <c r="B9" s="54">
        <v>347</v>
      </c>
    </row>
    <row r="10" spans="1:2" ht="37.5" x14ac:dyDescent="0.25">
      <c r="A10" s="13" t="s">
        <v>64</v>
      </c>
      <c r="B10" s="54">
        <v>1172</v>
      </c>
    </row>
    <row r="11" spans="1:2" ht="37.5" x14ac:dyDescent="0.25">
      <c r="A11" s="13" t="s">
        <v>34</v>
      </c>
      <c r="B11" s="54">
        <v>87556</v>
      </c>
    </row>
    <row r="12" spans="1:2" ht="18.75" x14ac:dyDescent="0.25">
      <c r="A12" s="13" t="s">
        <v>67</v>
      </c>
      <c r="B12" s="54">
        <v>311842</v>
      </c>
    </row>
    <row r="13" spans="1:2" ht="37.5" x14ac:dyDescent="0.25">
      <c r="A13" s="13" t="s">
        <v>71</v>
      </c>
      <c r="B13" s="54">
        <v>24887</v>
      </c>
    </row>
    <row r="14" spans="1:2" x14ac:dyDescent="0.25">
      <c r="A14" s="54" t="s">
        <v>15</v>
      </c>
      <c r="B14" s="54">
        <f>SUM(B2:B13)</f>
        <v>437590</v>
      </c>
    </row>
    <row r="20" spans="1:2" ht="45" x14ac:dyDescent="0.25">
      <c r="A20" s="46" t="s">
        <v>392</v>
      </c>
      <c r="B20" s="46" t="s">
        <v>683</v>
      </c>
    </row>
    <row r="21" spans="1:2" ht="37.5" x14ac:dyDescent="0.25">
      <c r="A21" s="13" t="s">
        <v>55</v>
      </c>
      <c r="B21" s="54">
        <v>279</v>
      </c>
    </row>
    <row r="22" spans="1:2" ht="37.5" x14ac:dyDescent="0.25">
      <c r="A22" s="13" t="s">
        <v>58</v>
      </c>
      <c r="B22" s="54">
        <v>556</v>
      </c>
    </row>
    <row r="23" spans="1:2" ht="37.5" x14ac:dyDescent="0.25">
      <c r="A23" s="13" t="s">
        <v>39</v>
      </c>
      <c r="B23" s="54">
        <v>257</v>
      </c>
    </row>
    <row r="24" spans="1:2" ht="18.75" x14ac:dyDescent="0.25">
      <c r="A24" s="13" t="s">
        <v>43</v>
      </c>
      <c r="B24" s="54">
        <v>257</v>
      </c>
    </row>
    <row r="25" spans="1:2" ht="18.75" x14ac:dyDescent="0.25">
      <c r="A25" s="13" t="s">
        <v>46</v>
      </c>
      <c r="B25" s="54">
        <v>257</v>
      </c>
    </row>
    <row r="26" spans="1:2" ht="37.5" x14ac:dyDescent="0.25">
      <c r="A26" s="13" t="s">
        <v>49</v>
      </c>
      <c r="B26" s="54">
        <v>346</v>
      </c>
    </row>
    <row r="27" spans="1:2" ht="18.75" x14ac:dyDescent="0.25">
      <c r="A27" s="13" t="s">
        <v>52</v>
      </c>
      <c r="B27" s="54">
        <v>1232</v>
      </c>
    </row>
    <row r="28" spans="1:2" ht="37.5" x14ac:dyDescent="0.25">
      <c r="A28" s="13" t="s">
        <v>61</v>
      </c>
      <c r="B28" s="54">
        <v>135</v>
      </c>
    </row>
    <row r="29" spans="1:2" ht="37.5" x14ac:dyDescent="0.25">
      <c r="A29" s="13" t="s">
        <v>64</v>
      </c>
      <c r="B29" s="54">
        <v>359</v>
      </c>
    </row>
    <row r="30" spans="1:2" ht="37.5" x14ac:dyDescent="0.25">
      <c r="A30" s="13" t="s">
        <v>34</v>
      </c>
      <c r="B30" s="54">
        <v>11318</v>
      </c>
    </row>
    <row r="31" spans="1:2" ht="18.75" x14ac:dyDescent="0.25">
      <c r="A31" s="13" t="s">
        <v>67</v>
      </c>
      <c r="B31" s="54">
        <v>31268</v>
      </c>
    </row>
    <row r="32" spans="1:2" ht="37.5" x14ac:dyDescent="0.25">
      <c r="A32" s="13" t="s">
        <v>71</v>
      </c>
      <c r="B32" s="54">
        <v>4137</v>
      </c>
    </row>
    <row r="33" spans="1:11" x14ac:dyDescent="0.25">
      <c r="A33" s="54" t="s">
        <v>15</v>
      </c>
      <c r="B33" s="54">
        <f>SUM(B21:B32)</f>
        <v>50401</v>
      </c>
    </row>
    <row r="44" spans="1:11" ht="37.5" x14ac:dyDescent="0.25">
      <c r="A44" s="52" t="s">
        <v>684</v>
      </c>
      <c r="B44" s="13" t="s">
        <v>39</v>
      </c>
      <c r="C44" s="13" t="s">
        <v>43</v>
      </c>
      <c r="D44" s="13" t="s">
        <v>46</v>
      </c>
      <c r="E44" s="13" t="s">
        <v>49</v>
      </c>
      <c r="F44" s="13" t="s">
        <v>52</v>
      </c>
      <c r="G44" s="13" t="s">
        <v>55</v>
      </c>
      <c r="H44" s="13" t="s">
        <v>58</v>
      </c>
      <c r="I44" s="13" t="s">
        <v>61</v>
      </c>
      <c r="J44" s="13" t="s">
        <v>64</v>
      </c>
      <c r="K44" s="13" t="s">
        <v>34</v>
      </c>
    </row>
    <row r="45" spans="1:11" ht="37.5" x14ac:dyDescent="0.25">
      <c r="A45" s="13" t="s">
        <v>55</v>
      </c>
      <c r="B45" s="103">
        <v>7.3931689994703204E-2</v>
      </c>
      <c r="C45" s="103">
        <v>9.3082609536698779E-2</v>
      </c>
      <c r="D45" s="104">
        <v>4.8517019293948811E-2</v>
      </c>
      <c r="E45" s="104">
        <v>4.9963714905836868E-3</v>
      </c>
      <c r="F45" s="104">
        <v>4.9963714905836868E-3</v>
      </c>
      <c r="G45" s="104">
        <v>5.8584194531753175E-2</v>
      </c>
      <c r="H45" s="104">
        <v>1.4853901110495073E-3</v>
      </c>
      <c r="I45" s="105">
        <v>0</v>
      </c>
      <c r="J45" s="104">
        <v>5.6472371758918274E-3</v>
      </c>
      <c r="K45" s="104">
        <v>0.12248266587480088</v>
      </c>
    </row>
    <row r="46" spans="1:11" ht="37.5" x14ac:dyDescent="0.25">
      <c r="A46" s="13" t="s">
        <v>58</v>
      </c>
      <c r="B46" s="104">
        <v>4.9223295784271932E-2</v>
      </c>
      <c r="C46" s="104">
        <v>6.204305191146086E-2</v>
      </c>
      <c r="D46" s="104">
        <v>3.000826260450375E-2</v>
      </c>
      <c r="E46" s="105">
        <v>0</v>
      </c>
      <c r="F46" s="105">
        <v>0</v>
      </c>
      <c r="G46" s="104">
        <v>4.0254958046507167E-2</v>
      </c>
      <c r="H46" s="105">
        <v>0</v>
      </c>
      <c r="I46" s="105">
        <v>0</v>
      </c>
      <c r="J46" s="105">
        <v>0</v>
      </c>
      <c r="K46" s="104">
        <v>8.0954082389147877E-2</v>
      </c>
    </row>
    <row r="47" spans="1:11" ht="37.5" x14ac:dyDescent="0.25">
      <c r="A47" s="13" t="s">
        <v>39</v>
      </c>
      <c r="B47" s="106">
        <v>0</v>
      </c>
      <c r="C47" s="106">
        <v>0</v>
      </c>
      <c r="D47" s="106">
        <v>0</v>
      </c>
      <c r="E47" s="106">
        <v>0</v>
      </c>
      <c r="F47" s="106">
        <v>0</v>
      </c>
      <c r="G47" s="106">
        <v>0</v>
      </c>
      <c r="H47" s="106">
        <v>0</v>
      </c>
      <c r="I47" s="106">
        <v>0</v>
      </c>
      <c r="J47" s="105">
        <v>0</v>
      </c>
      <c r="K47" s="107">
        <v>5.7735026918962574E-2</v>
      </c>
    </row>
    <row r="48" spans="1:11" ht="18.75" x14ac:dyDescent="0.25">
      <c r="A48" s="13" t="s">
        <v>43</v>
      </c>
      <c r="B48" s="107">
        <v>2.8867513459481287E-2</v>
      </c>
      <c r="C48" s="107">
        <v>2.8867513459481287E-2</v>
      </c>
      <c r="D48" s="107">
        <v>2.8867513459481287E-2</v>
      </c>
      <c r="E48" s="107">
        <v>2.8867513459481287E-2</v>
      </c>
      <c r="F48" s="107">
        <v>2.8867513459481287E-2</v>
      </c>
      <c r="G48" s="106">
        <v>0</v>
      </c>
      <c r="H48" s="107">
        <v>2.8867513459481287E-2</v>
      </c>
      <c r="I48" s="106">
        <v>0</v>
      </c>
      <c r="J48" s="103">
        <v>2.8867513459481287E-2</v>
      </c>
      <c r="K48" s="107">
        <v>5.7735026918962574E-2</v>
      </c>
    </row>
    <row r="49" spans="1:11" ht="18.75" x14ac:dyDescent="0.25">
      <c r="A49" s="13" t="s">
        <v>46</v>
      </c>
      <c r="B49" s="107">
        <v>2.8867513459481287E-2</v>
      </c>
      <c r="C49" s="107">
        <v>2.8867513459481287E-2</v>
      </c>
      <c r="D49" s="107">
        <v>2.8867513459481287E-2</v>
      </c>
      <c r="E49" s="107">
        <v>2.8867513459481287E-2</v>
      </c>
      <c r="F49" s="107">
        <v>2.8867513459481287E-2</v>
      </c>
      <c r="G49" s="106">
        <v>0</v>
      </c>
      <c r="H49" s="107">
        <v>2.8867513459481287E-2</v>
      </c>
      <c r="I49" s="106">
        <v>0</v>
      </c>
      <c r="J49" s="103">
        <v>2.8867513459481287E-2</v>
      </c>
      <c r="K49" s="107">
        <v>5.7735026918962574E-2</v>
      </c>
    </row>
    <row r="50" spans="1:11" ht="37.5" x14ac:dyDescent="0.25">
      <c r="A50" s="13" t="s">
        <v>49</v>
      </c>
      <c r="B50" s="104">
        <v>4.2068190326927546E-2</v>
      </c>
      <c r="C50" s="104">
        <v>3.5099255081123486E-2</v>
      </c>
      <c r="D50" s="104">
        <v>1.3316743493656852E-2</v>
      </c>
      <c r="E50" s="104">
        <v>3.4988368207974581E-2</v>
      </c>
      <c r="F50" s="104">
        <v>1.5616967576667327E-2</v>
      </c>
      <c r="G50" s="104">
        <v>3.1889278899839006E-3</v>
      </c>
      <c r="H50" s="104">
        <v>1.6658975839502901E-2</v>
      </c>
      <c r="I50" s="104">
        <v>5.4635050130336524E-2</v>
      </c>
      <c r="J50" s="104">
        <v>3.0294395978033958E-2</v>
      </c>
      <c r="K50" s="104">
        <v>6.604176555975215E-2</v>
      </c>
    </row>
    <row r="51" spans="1:11" ht="18.75" x14ac:dyDescent="0.25">
      <c r="A51" s="13" t="s">
        <v>52</v>
      </c>
      <c r="B51" s="104">
        <v>2.1597383738877034E-2</v>
      </c>
      <c r="C51" s="104">
        <v>1.8754211886107226E-2</v>
      </c>
      <c r="D51" s="104">
        <v>1.0551202729610873E-2</v>
      </c>
      <c r="E51" s="104">
        <v>2.076207430594959E-2</v>
      </c>
      <c r="F51" s="104">
        <v>8.6345986916000709E-3</v>
      </c>
      <c r="G51" s="104">
        <v>2.8442211447828542E-3</v>
      </c>
      <c r="H51" s="104">
        <v>8.2056140133364309E-3</v>
      </c>
      <c r="I51" s="104">
        <v>2.2283894210751783E-2</v>
      </c>
      <c r="J51" s="104">
        <v>1.7545592644998494E-2</v>
      </c>
      <c r="K51" s="104">
        <v>3.2965993323330542E-2</v>
      </c>
    </row>
    <row r="52" spans="1:11" ht="37.5" x14ac:dyDescent="0.25">
      <c r="A52" s="13" t="s">
        <v>61</v>
      </c>
      <c r="B52" s="104">
        <v>5.31776033962836E-2</v>
      </c>
      <c r="C52" s="104">
        <v>4.7322160365019093E-2</v>
      </c>
      <c r="D52" s="104">
        <v>2.8129865774102293E-2</v>
      </c>
      <c r="E52" s="104">
        <v>5.075153368790887E-2</v>
      </c>
      <c r="F52" s="104">
        <v>2.2828914080238585E-2</v>
      </c>
      <c r="G52" s="104">
        <v>6.3108680136197354E-3</v>
      </c>
      <c r="H52" s="104">
        <v>2.2485108367566072E-2</v>
      </c>
      <c r="I52" s="104">
        <v>5.6163802095847072E-2</v>
      </c>
      <c r="J52" s="104">
        <v>4.5776113126070675E-2</v>
      </c>
      <c r="K52" s="104">
        <v>8.1232294100358676E-2</v>
      </c>
    </row>
    <row r="53" spans="1:11" ht="37.5" x14ac:dyDescent="0.25">
      <c r="A53" s="13" t="s">
        <v>64</v>
      </c>
      <c r="B53" s="104">
        <v>3.2248000264007155E-2</v>
      </c>
      <c r="C53" s="104">
        <v>2.8177697668620719E-2</v>
      </c>
      <c r="D53" s="104">
        <v>6.7047516863866273E-3</v>
      </c>
      <c r="E53" s="104">
        <v>3.3545217301972172E-2</v>
      </c>
      <c r="F53" s="104">
        <v>1.236456416239678E-2</v>
      </c>
      <c r="G53" s="104">
        <v>7.1119496518410284E-3</v>
      </c>
      <c r="H53" s="104">
        <v>1.0107875834066304E-2</v>
      </c>
      <c r="I53" s="103">
        <v>0</v>
      </c>
      <c r="J53" s="104">
        <v>1.611521083082957E-2</v>
      </c>
      <c r="K53" s="104">
        <v>1.3342975544110789E-2</v>
      </c>
    </row>
    <row r="54" spans="1:11" ht="37.5" x14ac:dyDescent="0.25">
      <c r="A54" s="13" t="s">
        <v>34</v>
      </c>
      <c r="B54" s="104">
        <v>1.1805532491698509E-2</v>
      </c>
      <c r="C54" s="104">
        <v>9.7311196518930047E-3</v>
      </c>
      <c r="D54" s="104">
        <v>6.4833104175587575E-3</v>
      </c>
      <c r="E54" s="104">
        <v>1.0441568584757649E-2</v>
      </c>
      <c r="F54" s="104">
        <v>4.241159541052409E-3</v>
      </c>
      <c r="G54" s="104">
        <v>9.3985831048150835E-4</v>
      </c>
      <c r="H54" s="104">
        <v>4.7812806020693169E-3</v>
      </c>
      <c r="I54" s="104">
        <v>2.0088686206458036E-2</v>
      </c>
      <c r="J54" s="104">
        <v>1.0684719445750421E-2</v>
      </c>
      <c r="K54" s="104">
        <v>2.4985062633317845E-2</v>
      </c>
    </row>
    <row r="55" spans="1:11" ht="18.75" x14ac:dyDescent="0.25">
      <c r="A55" s="13" t="s">
        <v>67</v>
      </c>
      <c r="B55" s="92">
        <v>2.9775671438350992E-3</v>
      </c>
      <c r="C55" s="92">
        <v>2.9775671438350992E-3</v>
      </c>
      <c r="D55" s="92">
        <v>2.9775671438350992E-3</v>
      </c>
      <c r="E55" s="92">
        <v>2.9775671438350992E-3</v>
      </c>
      <c r="F55" s="92">
        <v>2.9775671438350992E-3</v>
      </c>
      <c r="G55" s="92">
        <v>2.9775671438350992E-3</v>
      </c>
      <c r="H55" s="92">
        <v>2.9775671438350992E-3</v>
      </c>
      <c r="I55" s="53">
        <v>0</v>
      </c>
      <c r="J55" s="92">
        <v>2.9775671438350992E-3</v>
      </c>
      <c r="K55" s="92">
        <v>8.1107275205025321E-5</v>
      </c>
    </row>
    <row r="56" spans="1:11" ht="37.5" x14ac:dyDescent="0.25">
      <c r="A56" s="13" t="s">
        <v>71</v>
      </c>
      <c r="B56" s="92">
        <v>6.6829840339410005E-3</v>
      </c>
      <c r="C56" s="92">
        <v>6.6829840339410005E-3</v>
      </c>
      <c r="D56" s="92">
        <v>6.6829840339410005E-3</v>
      </c>
      <c r="E56" s="53">
        <v>0</v>
      </c>
      <c r="F56" s="53">
        <v>0</v>
      </c>
      <c r="G56" s="92">
        <v>6.6829840339410005E-3</v>
      </c>
      <c r="H56" s="53">
        <v>0</v>
      </c>
      <c r="I56" s="53">
        <v>0</v>
      </c>
      <c r="J56" s="53">
        <v>0</v>
      </c>
      <c r="K56" s="92">
        <v>3.44607008310132E-2</v>
      </c>
    </row>
    <row r="62" spans="1:11" ht="47.25" x14ac:dyDescent="0.25">
      <c r="A62" s="52" t="s">
        <v>685</v>
      </c>
      <c r="B62" s="13" t="s">
        <v>39</v>
      </c>
      <c r="C62" s="13" t="s">
        <v>43</v>
      </c>
      <c r="D62" s="13" t="s">
        <v>46</v>
      </c>
      <c r="E62" s="13" t="s">
        <v>49</v>
      </c>
      <c r="F62" s="13" t="s">
        <v>52</v>
      </c>
      <c r="G62" s="13" t="s">
        <v>55</v>
      </c>
      <c r="H62" s="13" t="s">
        <v>58</v>
      </c>
      <c r="I62" s="13" t="s">
        <v>61</v>
      </c>
      <c r="J62" s="13" t="s">
        <v>64</v>
      </c>
      <c r="K62" s="13" t="s">
        <v>34</v>
      </c>
    </row>
    <row r="63" spans="1:11" ht="37.5" x14ac:dyDescent="0.25">
      <c r="A63" s="13" t="s">
        <v>55</v>
      </c>
      <c r="B63" s="103">
        <v>0.11094021734796128</v>
      </c>
      <c r="C63" s="103">
        <v>0.13338879381703758</v>
      </c>
      <c r="D63" s="104">
        <v>7.9202664944843668E-2</v>
      </c>
      <c r="E63" s="104">
        <v>1.2851336124512591E-2</v>
      </c>
      <c r="F63" s="104">
        <v>1.2851336124512591E-2</v>
      </c>
      <c r="G63" s="104">
        <v>9.2097719393326019E-2</v>
      </c>
      <c r="H63" s="104">
        <v>4.8696408057473193E-3</v>
      </c>
      <c r="I63" s="105">
        <v>0</v>
      </c>
      <c r="J63" s="104">
        <v>1.4174029347901627E-2</v>
      </c>
      <c r="K63" s="104">
        <v>0.16614382690159188</v>
      </c>
    </row>
    <row r="64" spans="1:11" ht="37.5" x14ac:dyDescent="0.25">
      <c r="A64" s="13" t="s">
        <v>58</v>
      </c>
      <c r="B64" s="104">
        <v>8.0123711116754745E-2</v>
      </c>
      <c r="C64" s="104">
        <v>9.6422642101358064E-2</v>
      </c>
      <c r="D64" s="104">
        <v>5.392835670132777E-2</v>
      </c>
      <c r="E64" s="105">
        <v>0</v>
      </c>
      <c r="F64" s="105">
        <v>0</v>
      </c>
      <c r="G64" s="104">
        <v>6.821501956729327E-2</v>
      </c>
      <c r="H64" s="105">
        <v>0</v>
      </c>
      <c r="I64" s="105">
        <v>0</v>
      </c>
      <c r="J64" s="105">
        <v>0</v>
      </c>
      <c r="K64" s="104">
        <v>0.11929315065757332</v>
      </c>
    </row>
    <row r="65" spans="1:11" ht="37.5" x14ac:dyDescent="0.25">
      <c r="A65" s="13" t="s">
        <v>39</v>
      </c>
      <c r="B65" s="106">
        <v>0</v>
      </c>
      <c r="C65" s="106">
        <v>0</v>
      </c>
      <c r="D65" s="106">
        <v>0</v>
      </c>
      <c r="E65" s="106">
        <v>0</v>
      </c>
      <c r="F65" s="106">
        <v>0</v>
      </c>
      <c r="G65" s="106">
        <v>0</v>
      </c>
      <c r="H65" s="106">
        <v>0</v>
      </c>
      <c r="I65" s="106">
        <v>0</v>
      </c>
      <c r="J65" s="105">
        <v>0</v>
      </c>
      <c r="K65" s="107">
        <v>9.1028210151303995E-2</v>
      </c>
    </row>
    <row r="66" spans="1:11" ht="18.75" x14ac:dyDescent="0.25">
      <c r="A66" s="13" t="s">
        <v>43</v>
      </c>
      <c r="B66" s="107">
        <v>5.2281977629563658E-2</v>
      </c>
      <c r="C66" s="107">
        <v>5.2281977629563658E-2</v>
      </c>
      <c r="D66" s="107">
        <v>5.2281977629563658E-2</v>
      </c>
      <c r="E66" s="107">
        <v>5.2281977629563658E-2</v>
      </c>
      <c r="F66" s="107">
        <v>5.2281977629563658E-2</v>
      </c>
      <c r="G66" s="106">
        <v>0</v>
      </c>
      <c r="H66" s="107">
        <v>5.2281977629563658E-2</v>
      </c>
      <c r="I66" s="106">
        <v>0</v>
      </c>
      <c r="J66" s="103">
        <v>5.2281977629563658E-2</v>
      </c>
      <c r="K66" s="107">
        <v>9.1028210151303995E-2</v>
      </c>
    </row>
    <row r="67" spans="1:11" ht="18.75" x14ac:dyDescent="0.25">
      <c r="A67" s="13" t="s">
        <v>46</v>
      </c>
      <c r="B67" s="107">
        <v>5.2281977629563658E-2</v>
      </c>
      <c r="C67" s="107">
        <v>5.2281977629563658E-2</v>
      </c>
      <c r="D67" s="107">
        <v>5.2281977629563658E-2</v>
      </c>
      <c r="E67" s="107">
        <v>5.2281977629563658E-2</v>
      </c>
      <c r="F67" s="107">
        <v>5.2281977629563658E-2</v>
      </c>
      <c r="G67" s="106">
        <v>0</v>
      </c>
      <c r="H67" s="107">
        <v>5.2281977629563658E-2</v>
      </c>
      <c r="I67" s="106">
        <v>0</v>
      </c>
      <c r="J67" s="103">
        <v>5.2281977629563658E-2</v>
      </c>
      <c r="K67" s="107">
        <v>9.1028210151303995E-2</v>
      </c>
    </row>
    <row r="68" spans="1:11" ht="37.5" x14ac:dyDescent="0.25">
      <c r="A68" s="13" t="s">
        <v>49</v>
      </c>
      <c r="B68" s="104">
        <v>7.0662267488757979E-2</v>
      </c>
      <c r="C68" s="104">
        <v>6.1131186469279272E-2</v>
      </c>
      <c r="D68" s="104">
        <v>2.8154183244301099E-2</v>
      </c>
      <c r="E68" s="104">
        <v>6.0976635260716887E-2</v>
      </c>
      <c r="F68" s="104">
        <v>3.1981724091077919E-2</v>
      </c>
      <c r="G68" s="104">
        <v>8.9730536499990857E-3</v>
      </c>
      <c r="H68" s="104">
        <v>3.3677755839805312E-2</v>
      </c>
      <c r="I68" s="104">
        <v>8.7096676276462337E-2</v>
      </c>
      <c r="J68" s="104">
        <v>5.4339338043351809E-2</v>
      </c>
      <c r="K68" s="104">
        <v>0.10136299761635956</v>
      </c>
    </row>
    <row r="69" spans="1:11" ht="18.75" x14ac:dyDescent="0.25">
      <c r="A69" s="13" t="s">
        <v>52</v>
      </c>
      <c r="B69" s="104">
        <v>4.1451993484447641E-2</v>
      </c>
      <c r="C69" s="104">
        <v>3.7025724051482189E-2</v>
      </c>
      <c r="D69" s="104">
        <v>2.3370396434508403E-2</v>
      </c>
      <c r="E69" s="104">
        <v>4.0164382851584926E-2</v>
      </c>
      <c r="F69" s="104">
        <v>1.9907569086709192E-2</v>
      </c>
      <c r="G69" s="104">
        <v>8.1883273041638716E-3</v>
      </c>
      <c r="H69" s="104">
        <v>1.9112318435743091E-2</v>
      </c>
      <c r="I69" s="104">
        <v>4.2502783787968429E-2</v>
      </c>
      <c r="J69" s="104">
        <v>3.5104188591484405E-2</v>
      </c>
      <c r="K69" s="104">
        <v>5.8140322765496105E-2</v>
      </c>
    </row>
    <row r="70" spans="1:11" ht="37.5" x14ac:dyDescent="0.25">
      <c r="A70" s="13" t="s">
        <v>61</v>
      </c>
      <c r="B70" s="104">
        <v>8.5232948788582175E-2</v>
      </c>
      <c r="C70" s="104">
        <v>7.76383247385867E-2</v>
      </c>
      <c r="D70" s="104">
        <v>5.1210454850832733E-2</v>
      </c>
      <c r="E70" s="104">
        <v>8.210769154497316E-2</v>
      </c>
      <c r="F70" s="104">
        <v>4.3332396484495925E-2</v>
      </c>
      <c r="G70" s="104">
        <v>1.5491582466907378E-2</v>
      </c>
      <c r="H70" s="104">
        <v>4.2809533307922427E-2</v>
      </c>
      <c r="I70" s="104">
        <v>8.9040933740546183E-2</v>
      </c>
      <c r="J70" s="104">
        <v>7.5602409388561637E-2</v>
      </c>
      <c r="K70" s="104">
        <v>0.11962101416145537</v>
      </c>
    </row>
    <row r="71" spans="1:11" ht="37.5" x14ac:dyDescent="0.25">
      <c r="A71" s="13" t="s">
        <v>64</v>
      </c>
      <c r="B71" s="104">
        <v>5.7125068824393339E-2</v>
      </c>
      <c r="C71" s="104">
        <v>5.128010543122824E-2</v>
      </c>
      <c r="D71" s="104">
        <v>1.6260378996685063E-2</v>
      </c>
      <c r="E71" s="104">
        <v>5.8956133416150795E-2</v>
      </c>
      <c r="F71" s="104">
        <v>2.6531851349249656E-2</v>
      </c>
      <c r="G71" s="104">
        <v>1.7045723683253789E-2</v>
      </c>
      <c r="H71" s="104">
        <v>2.2581481127519173E-2</v>
      </c>
      <c r="I71" s="103">
        <v>0</v>
      </c>
      <c r="J71" s="104">
        <v>3.2795427666980119E-2</v>
      </c>
      <c r="K71" s="104">
        <v>2.8198542232708432E-2</v>
      </c>
    </row>
    <row r="72" spans="1:11" ht="37.5" x14ac:dyDescent="0.25">
      <c r="A72" s="13" t="s">
        <v>34</v>
      </c>
      <c r="B72" s="104">
        <v>2.5567777014504987E-2</v>
      </c>
      <c r="C72" s="104">
        <v>2.1905579940833485E-2</v>
      </c>
      <c r="D72" s="104">
        <v>1.582930904161858E-2</v>
      </c>
      <c r="E72" s="104">
        <v>2.3175926331704979E-2</v>
      </c>
      <c r="F72" s="104">
        <v>1.1272291035916605E-2</v>
      </c>
      <c r="G72" s="104">
        <v>3.3765595548779638E-3</v>
      </c>
      <c r="H72" s="104">
        <v>1.2406803134221392E-2</v>
      </c>
      <c r="I72" s="104">
        <v>3.911881885521673E-2</v>
      </c>
      <c r="J72" s="104">
        <v>2.360668494001859E-2</v>
      </c>
      <c r="K72" s="104">
        <v>4.6576715464848935E-2</v>
      </c>
    </row>
    <row r="73" spans="1:11" ht="18.75" x14ac:dyDescent="0.25">
      <c r="A73" s="13" t="s">
        <v>67</v>
      </c>
      <c r="B73" s="92">
        <v>8.4940293285094056E-3</v>
      </c>
      <c r="C73" s="92">
        <v>8.4940293285094056E-3</v>
      </c>
      <c r="D73" s="92">
        <v>8.4940293285094056E-3</v>
      </c>
      <c r="E73" s="92">
        <v>8.4940293285094056E-3</v>
      </c>
      <c r="F73" s="92">
        <v>8.4940293285094056E-3</v>
      </c>
      <c r="G73" s="92">
        <v>8.4940293285094056E-3</v>
      </c>
      <c r="H73" s="92">
        <v>8.4940293285094056E-3</v>
      </c>
      <c r="I73" s="53">
        <v>0</v>
      </c>
      <c r="J73" s="92">
        <v>8.4940293285094056E-3</v>
      </c>
      <c r="K73" s="92">
        <v>4.7563341147979375E-4</v>
      </c>
    </row>
    <row r="74" spans="1:11" ht="37.5" x14ac:dyDescent="0.25">
      <c r="A74" s="13" t="s">
        <v>71</v>
      </c>
      <c r="B74" s="92">
        <v>1.6218132499487753E-2</v>
      </c>
      <c r="C74" s="92">
        <v>1.6218132499487753E-2</v>
      </c>
      <c r="D74" s="92">
        <v>1.6218132499487753E-2</v>
      </c>
      <c r="E74" s="53">
        <v>0</v>
      </c>
      <c r="F74" s="53">
        <v>0</v>
      </c>
      <c r="G74" s="92">
        <v>1.6218132499487753E-2</v>
      </c>
      <c r="H74" s="53">
        <v>0</v>
      </c>
      <c r="I74" s="53">
        <v>0</v>
      </c>
      <c r="J74" s="53">
        <v>0</v>
      </c>
      <c r="K74" s="92">
        <v>6.023983723512405E-2</v>
      </c>
    </row>
    <row r="80" spans="1:11" ht="37.5" x14ac:dyDescent="0.25">
      <c r="A80" s="52" t="s">
        <v>684</v>
      </c>
      <c r="B80" s="13" t="s">
        <v>39</v>
      </c>
      <c r="C80" s="13" t="s">
        <v>43</v>
      </c>
      <c r="D80" s="13" t="s">
        <v>46</v>
      </c>
      <c r="E80" s="13" t="s">
        <v>49</v>
      </c>
      <c r="F80" s="13" t="s">
        <v>52</v>
      </c>
      <c r="G80" s="13" t="s">
        <v>55</v>
      </c>
      <c r="H80" s="13" t="s">
        <v>58</v>
      </c>
      <c r="I80" s="13" t="s">
        <v>61</v>
      </c>
      <c r="J80" s="13" t="s">
        <v>64</v>
      </c>
      <c r="K80" s="13" t="s">
        <v>34</v>
      </c>
    </row>
    <row r="81" spans="1:11" ht="37.5" x14ac:dyDescent="0.25">
      <c r="A81" s="13" t="s">
        <v>55</v>
      </c>
      <c r="B81" s="108">
        <v>48736</v>
      </c>
      <c r="C81" s="108">
        <v>61361</v>
      </c>
      <c r="D81" s="109">
        <v>31983</v>
      </c>
      <c r="E81" s="109">
        <v>4776</v>
      </c>
      <c r="F81" s="109">
        <v>23389</v>
      </c>
      <c r="G81" s="109">
        <v>42827</v>
      </c>
      <c r="H81" s="109">
        <v>2572</v>
      </c>
      <c r="I81" s="110">
        <v>0</v>
      </c>
      <c r="J81" s="109">
        <v>5659</v>
      </c>
      <c r="K81" s="109">
        <v>9169099</v>
      </c>
    </row>
    <row r="82" spans="1:11" ht="37.5" x14ac:dyDescent="0.25">
      <c r="A82" s="13" t="s">
        <v>58</v>
      </c>
      <c r="B82" s="109">
        <v>76851</v>
      </c>
      <c r="C82" s="109">
        <v>96866</v>
      </c>
      <c r="D82" s="109">
        <v>46851</v>
      </c>
      <c r="E82" s="110">
        <v>0</v>
      </c>
      <c r="F82" s="110">
        <v>0</v>
      </c>
      <c r="G82" s="109">
        <v>69696</v>
      </c>
      <c r="H82" s="110">
        <v>0</v>
      </c>
      <c r="I82" s="110">
        <v>0</v>
      </c>
      <c r="J82" s="110">
        <v>0</v>
      </c>
      <c r="K82" s="109">
        <v>14353232</v>
      </c>
    </row>
    <row r="83" spans="1:11" ht="37.5" x14ac:dyDescent="0.25">
      <c r="A83" s="13" t="s">
        <v>39</v>
      </c>
      <c r="B83" s="111">
        <v>0</v>
      </c>
      <c r="C83" s="111">
        <v>0</v>
      </c>
      <c r="D83" s="111">
        <v>0</v>
      </c>
      <c r="E83" s="111">
        <v>0</v>
      </c>
      <c r="F83" s="111">
        <v>0</v>
      </c>
      <c r="G83" s="111">
        <v>0</v>
      </c>
      <c r="H83" s="111">
        <v>0</v>
      </c>
      <c r="I83" s="111">
        <v>0</v>
      </c>
      <c r="J83" s="110">
        <v>0</v>
      </c>
      <c r="K83" s="112">
        <v>3897442</v>
      </c>
    </row>
    <row r="84" spans="1:11" ht="18.75" x14ac:dyDescent="0.25">
      <c r="A84" s="13" t="s">
        <v>43</v>
      </c>
      <c r="B84" s="112">
        <v>17160</v>
      </c>
      <c r="C84" s="112">
        <v>17160</v>
      </c>
      <c r="D84" s="112">
        <v>17160</v>
      </c>
      <c r="E84" s="112">
        <v>24883</v>
      </c>
      <c r="F84" s="112">
        <v>121856</v>
      </c>
      <c r="G84" s="111">
        <v>0</v>
      </c>
      <c r="H84" s="112">
        <v>45070</v>
      </c>
      <c r="I84" s="111">
        <v>0</v>
      </c>
      <c r="J84" s="108">
        <v>26085</v>
      </c>
      <c r="K84" s="112">
        <v>3897442</v>
      </c>
    </row>
    <row r="85" spans="1:11" ht="18.75" x14ac:dyDescent="0.25">
      <c r="A85" s="13" t="s">
        <v>46</v>
      </c>
      <c r="B85" s="112">
        <v>17160</v>
      </c>
      <c r="C85" s="112">
        <v>17160</v>
      </c>
      <c r="D85" s="112">
        <v>17160</v>
      </c>
      <c r="E85" s="112">
        <v>24883</v>
      </c>
      <c r="F85" s="112">
        <v>121856</v>
      </c>
      <c r="G85" s="111">
        <v>0</v>
      </c>
      <c r="H85" s="112">
        <v>45070</v>
      </c>
      <c r="I85" s="111">
        <v>0</v>
      </c>
      <c r="J85" s="108">
        <v>26085</v>
      </c>
      <c r="K85" s="112">
        <v>3897442</v>
      </c>
    </row>
    <row r="86" spans="1:11" ht="37.5" x14ac:dyDescent="0.25">
      <c r="A86" s="13" t="s">
        <v>49</v>
      </c>
      <c r="B86" s="109">
        <v>36246</v>
      </c>
      <c r="C86" s="109">
        <v>30241</v>
      </c>
      <c r="D86" s="109">
        <v>11474</v>
      </c>
      <c r="E86" s="109">
        <v>43713</v>
      </c>
      <c r="F86" s="109">
        <v>95549</v>
      </c>
      <c r="G86" s="109">
        <v>3047</v>
      </c>
      <c r="H86" s="109">
        <v>37698</v>
      </c>
      <c r="I86" s="109">
        <v>21186</v>
      </c>
      <c r="J86" s="109">
        <v>39677</v>
      </c>
      <c r="K86" s="109">
        <v>6461779</v>
      </c>
    </row>
    <row r="87" spans="1:11" ht="18.75" x14ac:dyDescent="0.25">
      <c r="A87" s="13" t="s">
        <v>52</v>
      </c>
      <c r="B87" s="109">
        <v>91167</v>
      </c>
      <c r="C87" s="109">
        <v>79166</v>
      </c>
      <c r="D87" s="109">
        <v>44539</v>
      </c>
      <c r="E87" s="109">
        <v>127086</v>
      </c>
      <c r="F87" s="109">
        <v>258827</v>
      </c>
      <c r="G87" s="109">
        <v>13314</v>
      </c>
      <c r="H87" s="109">
        <v>90975</v>
      </c>
      <c r="I87" s="109">
        <v>42335</v>
      </c>
      <c r="J87" s="109">
        <v>112585</v>
      </c>
      <c r="K87" s="109">
        <v>15802879</v>
      </c>
    </row>
    <row r="88" spans="1:11" ht="37.5" x14ac:dyDescent="0.25">
      <c r="A88" s="13" t="s">
        <v>61</v>
      </c>
      <c r="B88" s="109">
        <v>14206</v>
      </c>
      <c r="C88" s="109">
        <v>12642</v>
      </c>
      <c r="D88" s="109">
        <v>7515</v>
      </c>
      <c r="E88" s="109">
        <v>19660</v>
      </c>
      <c r="F88" s="109">
        <v>43308</v>
      </c>
      <c r="G88" s="109">
        <v>1870</v>
      </c>
      <c r="H88" s="109">
        <v>15777</v>
      </c>
      <c r="I88" s="109">
        <v>6753</v>
      </c>
      <c r="J88" s="109">
        <v>18590</v>
      </c>
      <c r="K88" s="109">
        <v>2464438</v>
      </c>
    </row>
    <row r="89" spans="1:11" ht="37.5" x14ac:dyDescent="0.25">
      <c r="A89" s="13" t="s">
        <v>64</v>
      </c>
      <c r="B89" s="109">
        <v>29146</v>
      </c>
      <c r="C89" s="109">
        <v>25467</v>
      </c>
      <c r="D89" s="109">
        <v>6060</v>
      </c>
      <c r="E89" s="109">
        <v>43964</v>
      </c>
      <c r="F89" s="109">
        <v>79357</v>
      </c>
      <c r="G89" s="109">
        <v>7128</v>
      </c>
      <c r="H89" s="109">
        <v>23994</v>
      </c>
      <c r="I89" s="108">
        <v>0</v>
      </c>
      <c r="J89" s="109">
        <v>22140</v>
      </c>
      <c r="K89" s="109">
        <v>1369490</v>
      </c>
    </row>
    <row r="90" spans="1:11" ht="37.5" x14ac:dyDescent="0.25">
      <c r="A90" s="13" t="s">
        <v>34</v>
      </c>
      <c r="B90" s="109">
        <v>796938</v>
      </c>
      <c r="C90" s="109">
        <v>656904</v>
      </c>
      <c r="D90" s="109">
        <v>437659</v>
      </c>
      <c r="E90" s="109">
        <v>1022097</v>
      </c>
      <c r="F90" s="109">
        <v>2033075</v>
      </c>
      <c r="G90" s="109">
        <v>70358</v>
      </c>
      <c r="H90" s="109">
        <v>847723</v>
      </c>
      <c r="I90" s="109">
        <v>610331</v>
      </c>
      <c r="J90" s="109">
        <v>1096416</v>
      </c>
      <c r="K90" s="109">
        <v>191536271</v>
      </c>
    </row>
    <row r="91" spans="1:11" ht="18.75" x14ac:dyDescent="0.25">
      <c r="A91" s="13" t="s">
        <v>67</v>
      </c>
      <c r="B91" s="108">
        <v>715896</v>
      </c>
      <c r="C91" s="108">
        <v>715896</v>
      </c>
      <c r="D91" s="108">
        <v>715896</v>
      </c>
      <c r="E91" s="108">
        <v>1038096</v>
      </c>
      <c r="F91" s="108">
        <v>5083700</v>
      </c>
      <c r="G91" s="108">
        <v>793893</v>
      </c>
      <c r="H91" s="108">
        <v>1880273</v>
      </c>
      <c r="I91" s="113">
        <v>0</v>
      </c>
      <c r="J91" s="108">
        <v>1088237</v>
      </c>
      <c r="K91" s="108">
        <v>2214522</v>
      </c>
    </row>
    <row r="92" spans="1:11" ht="37.5" x14ac:dyDescent="0.25">
      <c r="A92" s="13" t="s">
        <v>71</v>
      </c>
      <c r="B92" s="108">
        <v>128234</v>
      </c>
      <c r="C92" s="108">
        <v>128234</v>
      </c>
      <c r="D92" s="108">
        <v>128234</v>
      </c>
      <c r="E92" s="113">
        <v>0</v>
      </c>
      <c r="F92" s="113">
        <v>0</v>
      </c>
      <c r="G92" s="108">
        <v>142205</v>
      </c>
      <c r="H92" s="113">
        <v>0</v>
      </c>
      <c r="I92" s="113">
        <v>0</v>
      </c>
      <c r="J92" s="113">
        <v>0</v>
      </c>
      <c r="K92" s="108">
        <v>75090834</v>
      </c>
    </row>
    <row r="93" spans="1:11" ht="18.75" x14ac:dyDescent="0.25">
      <c r="A93" s="94" t="s">
        <v>15</v>
      </c>
      <c r="B93" s="114">
        <v>1971740</v>
      </c>
      <c r="C93" s="114">
        <v>1841097</v>
      </c>
      <c r="D93" s="114">
        <v>1464531</v>
      </c>
      <c r="E93" s="114">
        <v>2349158</v>
      </c>
      <c r="F93" s="114">
        <v>7860917</v>
      </c>
      <c r="G93" s="114">
        <v>1144338</v>
      </c>
      <c r="H93" s="114">
        <v>2989152</v>
      </c>
      <c r="I93" s="114">
        <v>680605</v>
      </c>
      <c r="J93" s="114">
        <v>2435474</v>
      </c>
      <c r="K93" s="114">
        <v>330154870</v>
      </c>
    </row>
    <row r="95" spans="1:11" x14ac:dyDescent="0.25">
      <c r="A95" s="41" t="s">
        <v>689</v>
      </c>
      <c r="B95" s="54">
        <v>352891882</v>
      </c>
    </row>
    <row r="98" spans="1:11" ht="47.25" x14ac:dyDescent="0.25">
      <c r="A98" s="52" t="s">
        <v>685</v>
      </c>
      <c r="B98" s="13" t="s">
        <v>39</v>
      </c>
      <c r="C98" s="13" t="s">
        <v>43</v>
      </c>
      <c r="D98" s="13" t="s">
        <v>46</v>
      </c>
      <c r="E98" s="13" t="s">
        <v>49</v>
      </c>
      <c r="F98" s="13" t="s">
        <v>52</v>
      </c>
      <c r="G98" s="13" t="s">
        <v>55</v>
      </c>
      <c r="H98" s="13" t="s">
        <v>58</v>
      </c>
      <c r="I98" s="13" t="s">
        <v>61</v>
      </c>
      <c r="J98" s="13" t="s">
        <v>64</v>
      </c>
      <c r="K98" s="13" t="s">
        <v>34</v>
      </c>
    </row>
    <row r="99" spans="1:11" ht="37.5" x14ac:dyDescent="0.25">
      <c r="A99" s="13" t="s">
        <v>55</v>
      </c>
      <c r="B99" s="108">
        <v>7953</v>
      </c>
      <c r="C99" s="108">
        <v>9563</v>
      </c>
      <c r="D99" s="109">
        <v>5678</v>
      </c>
      <c r="E99" s="109">
        <v>1240</v>
      </c>
      <c r="F99" s="109">
        <v>4417</v>
      </c>
      <c r="G99" s="109">
        <v>7168</v>
      </c>
      <c r="H99" s="109">
        <v>755</v>
      </c>
      <c r="I99" s="110">
        <v>0</v>
      </c>
      <c r="J99" s="109">
        <v>1419</v>
      </c>
      <c r="K99" s="109">
        <v>524539</v>
      </c>
    </row>
    <row r="100" spans="1:11" ht="37.5" x14ac:dyDescent="0.25">
      <c r="A100" s="13" t="s">
        <v>58</v>
      </c>
      <c r="B100" s="109">
        <v>11449</v>
      </c>
      <c r="C100" s="109">
        <v>13779</v>
      </c>
      <c r="D100" s="109">
        <v>7706</v>
      </c>
      <c r="E100" s="110">
        <v>0</v>
      </c>
      <c r="F100" s="110">
        <v>0</v>
      </c>
      <c r="G100" s="109">
        <v>10582</v>
      </c>
      <c r="H100" s="110">
        <v>0</v>
      </c>
      <c r="I100" s="110">
        <v>0</v>
      </c>
      <c r="J100" s="110">
        <v>0</v>
      </c>
      <c r="K100" s="109">
        <v>750717</v>
      </c>
    </row>
    <row r="101" spans="1:11" ht="47.1" customHeight="1" x14ac:dyDescent="0.25">
      <c r="A101" s="13" t="s">
        <v>39</v>
      </c>
      <c r="B101" s="111">
        <v>0</v>
      </c>
      <c r="C101" s="111">
        <v>0</v>
      </c>
      <c r="D101" s="111">
        <v>0</v>
      </c>
      <c r="E101" s="111">
        <v>0</v>
      </c>
      <c r="F101" s="111">
        <v>0</v>
      </c>
      <c r="G101" s="111">
        <v>0</v>
      </c>
      <c r="H101" s="111">
        <v>0</v>
      </c>
      <c r="I101" s="111">
        <v>0</v>
      </c>
      <c r="J101" s="110">
        <v>0</v>
      </c>
      <c r="K101" s="112">
        <v>264570</v>
      </c>
    </row>
    <row r="102" spans="1:11" ht="18.75" x14ac:dyDescent="0.25">
      <c r="A102" s="13" t="s">
        <v>43</v>
      </c>
      <c r="B102" s="112">
        <v>3450</v>
      </c>
      <c r="C102" s="112">
        <v>3450</v>
      </c>
      <c r="D102" s="112">
        <v>3450</v>
      </c>
      <c r="E102" s="112">
        <v>4645</v>
      </c>
      <c r="F102" s="112">
        <v>16541</v>
      </c>
      <c r="G102" s="111">
        <v>0</v>
      </c>
      <c r="H102" s="112">
        <v>7465</v>
      </c>
      <c r="I102" s="111">
        <v>0</v>
      </c>
      <c r="J102" s="108">
        <v>4820</v>
      </c>
      <c r="K102" s="112">
        <v>264570</v>
      </c>
    </row>
    <row r="103" spans="1:11" ht="18.75" x14ac:dyDescent="0.25">
      <c r="A103" s="13" t="s">
        <v>46</v>
      </c>
      <c r="B103" s="112">
        <v>3450</v>
      </c>
      <c r="C103" s="112">
        <v>3450</v>
      </c>
      <c r="D103" s="112">
        <v>3450</v>
      </c>
      <c r="E103" s="112">
        <v>4645</v>
      </c>
      <c r="F103" s="112">
        <v>16541</v>
      </c>
      <c r="G103" s="111">
        <v>0</v>
      </c>
      <c r="H103" s="112">
        <v>7465</v>
      </c>
      <c r="I103" s="111">
        <v>0</v>
      </c>
      <c r="J103" s="108">
        <v>4820</v>
      </c>
      <c r="K103" s="112">
        <v>264570</v>
      </c>
    </row>
    <row r="104" spans="1:11" ht="37.5" x14ac:dyDescent="0.25">
      <c r="A104" s="13" t="s">
        <v>49</v>
      </c>
      <c r="B104" s="109">
        <v>6276</v>
      </c>
      <c r="C104" s="109">
        <v>5429</v>
      </c>
      <c r="D104" s="109">
        <v>2500</v>
      </c>
      <c r="E104" s="109">
        <v>7291</v>
      </c>
      <c r="F104" s="109">
        <v>13616</v>
      </c>
      <c r="G104" s="109">
        <v>865</v>
      </c>
      <c r="H104" s="109">
        <v>6471</v>
      </c>
      <c r="I104" s="109">
        <v>4063</v>
      </c>
      <c r="J104" s="109">
        <v>6742</v>
      </c>
      <c r="K104" s="109">
        <v>396459</v>
      </c>
    </row>
    <row r="105" spans="1:11" ht="18.75" x14ac:dyDescent="0.25">
      <c r="A105" s="13" t="s">
        <v>52</v>
      </c>
      <c r="B105" s="109">
        <v>13126</v>
      </c>
      <c r="C105" s="109">
        <v>11725</v>
      </c>
      <c r="D105" s="109">
        <v>7400</v>
      </c>
      <c r="E105" s="109">
        <v>17123</v>
      </c>
      <c r="F105" s="109">
        <v>30219</v>
      </c>
      <c r="G105" s="109">
        <v>2815</v>
      </c>
      <c r="H105" s="109">
        <v>13093</v>
      </c>
      <c r="I105" s="109">
        <v>7070</v>
      </c>
      <c r="J105" s="109">
        <v>15528</v>
      </c>
      <c r="K105" s="109">
        <v>810784</v>
      </c>
    </row>
    <row r="106" spans="1:11" ht="37.5" x14ac:dyDescent="0.25">
      <c r="A106" s="13" t="s">
        <v>61</v>
      </c>
      <c r="B106" s="109">
        <v>2967</v>
      </c>
      <c r="C106" s="109">
        <v>2702</v>
      </c>
      <c r="D106" s="109">
        <v>1782</v>
      </c>
      <c r="E106" s="109">
        <v>3847</v>
      </c>
      <c r="F106" s="109">
        <v>7230</v>
      </c>
      <c r="G106" s="109">
        <v>585</v>
      </c>
      <c r="H106" s="109">
        <v>3224</v>
      </c>
      <c r="I106" s="109">
        <v>1628</v>
      </c>
      <c r="J106" s="109">
        <v>3676</v>
      </c>
      <c r="K106" s="109">
        <v>183354</v>
      </c>
    </row>
    <row r="107" spans="1:11" ht="37.5" x14ac:dyDescent="0.25">
      <c r="A107" s="13" t="s">
        <v>64</v>
      </c>
      <c r="B107" s="109">
        <v>5271</v>
      </c>
      <c r="C107" s="109">
        <v>4732</v>
      </c>
      <c r="D107" s="109">
        <v>1500</v>
      </c>
      <c r="E107" s="109">
        <v>7324</v>
      </c>
      <c r="F107" s="109">
        <v>11737</v>
      </c>
      <c r="G107" s="109">
        <v>1708</v>
      </c>
      <c r="H107" s="109">
        <v>4508</v>
      </c>
      <c r="I107" s="108">
        <v>0</v>
      </c>
      <c r="J107" s="109">
        <v>4227</v>
      </c>
      <c r="K107" s="109">
        <v>114594</v>
      </c>
    </row>
    <row r="108" spans="1:11" ht="37.5" x14ac:dyDescent="0.25">
      <c r="A108" s="13" t="s">
        <v>34</v>
      </c>
      <c r="B108" s="109">
        <v>74371</v>
      </c>
      <c r="C108" s="109">
        <v>63719</v>
      </c>
      <c r="D108" s="109">
        <v>46044</v>
      </c>
      <c r="E108" s="109">
        <v>90759</v>
      </c>
      <c r="F108" s="109">
        <v>157182</v>
      </c>
      <c r="G108" s="109">
        <v>10662</v>
      </c>
      <c r="H108" s="109">
        <v>78075</v>
      </c>
      <c r="I108" s="109">
        <v>59772</v>
      </c>
      <c r="J108" s="109">
        <v>95920</v>
      </c>
      <c r="K108" s="109">
        <v>5966467</v>
      </c>
    </row>
    <row r="109" spans="1:11" ht="18.75" x14ac:dyDescent="0.25">
      <c r="A109" s="13" t="s">
        <v>67</v>
      </c>
      <c r="B109" s="108">
        <v>68257</v>
      </c>
      <c r="C109" s="108">
        <v>68257</v>
      </c>
      <c r="D109" s="108">
        <v>68257</v>
      </c>
      <c r="E109" s="108">
        <v>91894</v>
      </c>
      <c r="F109" s="108">
        <v>327207</v>
      </c>
      <c r="G109" s="108">
        <v>74100</v>
      </c>
      <c r="H109" s="108">
        <v>147668</v>
      </c>
      <c r="I109" s="113">
        <v>0</v>
      </c>
      <c r="J109" s="108">
        <v>95347</v>
      </c>
      <c r="K109" s="108">
        <v>168322</v>
      </c>
    </row>
    <row r="110" spans="1:11" ht="37.5" x14ac:dyDescent="0.25">
      <c r="A110" s="13" t="s">
        <v>71</v>
      </c>
      <c r="B110" s="108">
        <v>17245</v>
      </c>
      <c r="C110" s="108">
        <v>17245</v>
      </c>
      <c r="D110" s="108">
        <v>17245</v>
      </c>
      <c r="E110" s="113">
        <v>0</v>
      </c>
      <c r="F110" s="113">
        <v>0</v>
      </c>
      <c r="G110" s="108">
        <v>18721</v>
      </c>
      <c r="H110" s="113">
        <v>0</v>
      </c>
      <c r="I110" s="113">
        <v>0</v>
      </c>
      <c r="J110" s="113">
        <v>0</v>
      </c>
      <c r="K110" s="108">
        <v>2820889</v>
      </c>
    </row>
    <row r="111" spans="1:11" ht="18.75" x14ac:dyDescent="0.25">
      <c r="A111" s="94" t="s">
        <v>15</v>
      </c>
      <c r="B111" s="114">
        <v>213815</v>
      </c>
      <c r="C111" s="114">
        <v>204051</v>
      </c>
      <c r="D111" s="114">
        <v>165012</v>
      </c>
      <c r="E111" s="114">
        <v>228768</v>
      </c>
      <c r="F111" s="114">
        <v>584690</v>
      </c>
      <c r="G111" s="114">
        <v>127206</v>
      </c>
      <c r="H111" s="114">
        <v>268724</v>
      </c>
      <c r="I111" s="114">
        <v>72533</v>
      </c>
      <c r="J111" s="114">
        <v>232499</v>
      </c>
      <c r="K111" s="114">
        <v>12529835</v>
      </c>
    </row>
    <row r="113" spans="1:2" ht="37.5" x14ac:dyDescent="0.25">
      <c r="A113" s="94" t="s">
        <v>689</v>
      </c>
      <c r="B113" s="54">
        <v>14627133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README</vt:lpstr>
      <vt:lpstr>Parameter PDF Summary CA3_net</vt:lpstr>
      <vt:lpstr>CARLsim4_default_parameters</vt:lpstr>
      <vt:lpstr>CA3_netlist</vt:lpstr>
      <vt:lpstr>conn_types</vt:lpstr>
      <vt:lpstr>pop_size_neuron_type_internal</vt:lpstr>
      <vt:lpstr>pop_size_est_calc_internal</vt:lpstr>
      <vt:lpstr>pop_size_neuron_type_external</vt:lpstr>
      <vt:lpstr>pop_size_est_calc_external</vt:lpstr>
      <vt:lpstr>IM_parameters_by_neuron_type</vt:lpstr>
      <vt:lpstr>IM_parameters_calc</vt:lpstr>
      <vt:lpstr>Poisson_rates_external</vt:lpstr>
      <vt:lpstr>Poisson_rates_external_ref</vt:lpstr>
      <vt:lpstr>internal_to_internal_conn_prob</vt:lpstr>
      <vt:lpstr>internal_to_internal_prob_calc</vt:lpstr>
      <vt:lpstr>external_to_internal_conn_prob</vt:lpstr>
      <vt:lpstr>ext_to_int_prob_est_calc</vt:lpstr>
      <vt:lpstr>syn_conds_int_to_int</vt:lpstr>
      <vt:lpstr>syn_conds_multiplier_int_to_int</vt:lpstr>
      <vt:lpstr>syn_conds_ext_to_int</vt:lpstr>
      <vt:lpstr>syn_resource_release_int_to_int</vt:lpstr>
      <vt:lpstr>syn_resource_release_ext_to_int</vt:lpstr>
      <vt:lpstr>syn_rec_const_int_to_int</vt:lpstr>
      <vt:lpstr>syn_rec_const_ext_to_int</vt:lpstr>
      <vt:lpstr>syn_decay_const_int_to_int</vt:lpstr>
      <vt:lpstr>syn_decay_const_ext_to_int</vt:lpstr>
      <vt:lpstr>syn_facil_const_int_to_int</vt:lpstr>
      <vt:lpstr>syn_facil_const_ext_to_int</vt:lpstr>
      <vt:lpstr>scaled_network_properties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Carolina</dc:creator>
  <cp:keywords/>
  <dc:description/>
  <cp:lastModifiedBy>Jeffrey</cp:lastModifiedBy>
  <cp:revision/>
  <dcterms:created xsi:type="dcterms:W3CDTF">2018-10-18T19:03:24Z</dcterms:created>
  <dcterms:modified xsi:type="dcterms:W3CDTF">2020-10-15T01:08:30Z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60fd7a7a-3c8e-4f33-9ba2-e18e3b55ef07</vt:lpwstr>
  </property>
</Properties>
</file>