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showObjects="none" codeName="ThisWorkbook" defaultThemeVersion="166925"/>
  <mc:AlternateContent xmlns:mc="http://schemas.openxmlformats.org/markup-compatibility/2006">
    <mc:Choice Requires="x15">
      <x15ac:absPath xmlns:x15ac="http://schemas.microsoft.com/office/spreadsheetml/2010/11/ac" url="C:\Users\Jeffrey\Desktop\carlsim_resting_state_network_projects\ca3_snn_GPU_02_16_20_HC_IM_baseline\"/>
    </mc:Choice>
  </mc:AlternateContent>
  <xr:revisionPtr revIDLastSave="0" documentId="13_ncr:1_{DACFAD8A-5873-4BDA-B524-0E8CD69AF90F}" xr6:coauthVersionLast="46" xr6:coauthVersionMax="46" xr10:uidLastSave="{00000000-0000-0000-0000-000000000000}"/>
  <bookViews>
    <workbookView xWindow="15" yWindow="45" windowWidth="26055" windowHeight="17400" firstSheet="1" activeTab="1" xr2:uid="{00000000-000D-0000-FFFF-FFFF00000000}"/>
  </bookViews>
  <sheets>
    <sheet name="README" sheetId="44" r:id="rId1"/>
    <sheet name="Parameter PDF Summary CA3_net" sheetId="20" r:id="rId2"/>
    <sheet name="CARLsim4_default_parameters" sheetId="40" r:id="rId3"/>
    <sheet name="CA3_netlist" sheetId="6" r:id="rId4"/>
    <sheet name="syn_types" sheetId="12" r:id="rId5"/>
    <sheet name="pop_size_neuron_type" sheetId="8" r:id="rId6"/>
    <sheet name="IM_parameters_by_neuron_type" sheetId="9" r:id="rId7"/>
    <sheet name="syn_conn_prob" sheetId="5" r:id="rId8"/>
    <sheet name="syn_conds" sheetId="15" r:id="rId9"/>
    <sheet name="syn_weights" sheetId="51" r:id="rId10"/>
    <sheet name="syn_resource_release" sheetId="16" r:id="rId11"/>
    <sheet name="syn_resource_release_multiplier" sheetId="52" r:id="rId12"/>
    <sheet name="syn_rec_const" sheetId="17" r:id="rId13"/>
    <sheet name="syn_decay_const" sheetId="18" r:id="rId14"/>
    <sheet name="syn_facil_const" sheetId="19" r:id="rId15"/>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3" i="40" l="1"/>
  <c r="B12" i="9"/>
  <c r="B11" i="9"/>
  <c r="B10" i="9"/>
  <c r="B13" i="9"/>
  <c r="B14" i="9"/>
  <c r="J1" i="40" l="1"/>
  <c r="J2" i="40"/>
  <c r="J4" i="40"/>
  <c r="B10" i="19"/>
  <c r="B11" i="5"/>
  <c r="B12" i="19"/>
  <c r="B13" i="17"/>
  <c r="B12" i="15"/>
  <c r="B11" i="18"/>
  <c r="B11" i="16"/>
  <c r="B14" i="17"/>
  <c r="B14" i="18"/>
  <c r="B11" i="19"/>
  <c r="B12" i="17"/>
  <c r="B11" i="8"/>
  <c r="B12" i="8"/>
  <c r="B10" i="15"/>
  <c r="B14" i="19"/>
  <c r="B14" i="15"/>
  <c r="B10" i="18"/>
  <c r="B11" i="17"/>
  <c r="B13" i="18"/>
  <c r="B13" i="5"/>
  <c r="B13" i="15"/>
  <c r="B14" i="16"/>
  <c r="B10" i="17"/>
  <c r="B10" i="5"/>
  <c r="B11" i="15"/>
  <c r="B12" i="18"/>
  <c r="B13" i="16"/>
  <c r="B12" i="16"/>
  <c r="B12" i="5"/>
  <c r="B14" i="5"/>
  <c r="B10" i="16"/>
  <c r="B13" i="19"/>
  <c r="C3" i="20" l="1"/>
  <c r="C2" i="20"/>
  <c r="C101" i="20"/>
  <c r="C99" i="20"/>
  <c r="F71" i="20"/>
  <c r="F20" i="20"/>
  <c r="F73" i="20"/>
  <c r="F22" i="20"/>
  <c r="F14" i="20"/>
  <c r="J27" i="5"/>
  <c r="J26" i="5"/>
  <c r="J25" i="5"/>
  <c r="J24" i="5"/>
  <c r="J23" i="5"/>
  <c r="J22" i="5"/>
  <c r="J21" i="5"/>
  <c r="J20" i="5"/>
  <c r="B10" i="8"/>
  <c r="B13" i="8"/>
  <c r="B15" i="8"/>
  <c r="B14" i="8"/>
  <c r="C5" i="20" l="1"/>
  <c r="C6" i="20"/>
  <c r="C4" i="20"/>
  <c r="C7" i="20" s="1"/>
  <c r="J28" i="5"/>
  <c r="D89" i="20"/>
  <c r="D91" i="20"/>
  <c r="D93" i="20"/>
  <c r="G99" i="20"/>
  <c r="F16" i="20"/>
  <c r="B44" i="20" s="1"/>
  <c r="C95" i="20"/>
  <c r="F67" i="20"/>
  <c r="B95" i="20" s="1"/>
  <c r="F89" i="20"/>
  <c r="B66" i="20"/>
  <c r="F91" i="20"/>
  <c r="F93" i="20"/>
  <c r="D95" i="20"/>
  <c r="G89" i="20"/>
  <c r="G91" i="20"/>
  <c r="G93" i="20"/>
  <c r="E95" i="20"/>
  <c r="F18" i="20"/>
  <c r="B46" i="20" s="1"/>
  <c r="F69" i="20"/>
  <c r="B97" i="20" s="1"/>
  <c r="C97" i="20"/>
  <c r="E89" i="20"/>
  <c r="F95" i="20"/>
  <c r="D97" i="20"/>
  <c r="F87" i="20"/>
  <c r="F101" i="20"/>
  <c r="G87" i="20"/>
  <c r="G101" i="20"/>
  <c r="B63" i="20"/>
  <c r="B87" i="20" s="1"/>
  <c r="B12" i="20"/>
  <c r="C87" i="20"/>
  <c r="G95" i="20"/>
  <c r="E97" i="20"/>
  <c r="D99" i="20"/>
  <c r="B48" i="20"/>
  <c r="B99" i="20"/>
  <c r="B64" i="20"/>
  <c r="E91" i="20"/>
  <c r="E93" i="20"/>
  <c r="D87" i="20"/>
  <c r="F97" i="20"/>
  <c r="E99" i="20"/>
  <c r="B101" i="20"/>
  <c r="B50" i="20"/>
  <c r="D101" i="20"/>
  <c r="E87" i="20"/>
  <c r="B65" i="20"/>
  <c r="B89" i="20" s="1"/>
  <c r="C89" i="20"/>
  <c r="B14" i="20"/>
  <c r="B38" i="20" s="1"/>
  <c r="F12" i="20"/>
  <c r="B40" i="20" s="1"/>
  <c r="C91" i="20"/>
  <c r="F63" i="20"/>
  <c r="B91" i="20" s="1"/>
  <c r="F65" i="20"/>
  <c r="B93" i="20" s="1"/>
  <c r="C93" i="20"/>
  <c r="B42" i="20"/>
  <c r="G97" i="20"/>
  <c r="F99" i="20"/>
  <c r="E101" i="20"/>
  <c r="D103" i="20" l="1"/>
  <c r="B103" i="20"/>
  <c r="B67" i="20"/>
  <c r="G103" i="20"/>
  <c r="C103" i="20"/>
  <c r="F103" i="20"/>
  <c r="F24" i="20"/>
  <c r="F75" i="20"/>
  <c r="E103" i="20"/>
  <c r="B16" i="20"/>
  <c r="B36" i="20"/>
  <c r="B52" i="20" s="1"/>
</calcChain>
</file>

<file path=xl/sharedStrings.xml><?xml version="1.0" encoding="utf-8"?>
<sst xmlns="http://schemas.openxmlformats.org/spreadsheetml/2006/main" count="551" uniqueCount="360">
  <si>
    <t>Level of Estimate Legend</t>
  </si>
  <si>
    <t>Estimates made from a single or set of experimental measurements</t>
  </si>
  <si>
    <t>Estimates adapted or adopted from previous model frameworks</t>
  </si>
  <si>
    <t>Estimates based on an educational guess, with an upper and lower bound defined</t>
  </si>
  <si>
    <t>Estimates assigned to a default value in CARLsim4</t>
  </si>
  <si>
    <t>The tables below summarize the number of parameter PDFs for the reduced scale CA3 SNN assuming the PDF is described with one variable (e.g. mean)</t>
  </si>
  <si>
    <t>Neuron Super-Family Parameters</t>
  </si>
  <si>
    <t># of Parameter PDFs</t>
  </si>
  <si>
    <t>Synaptic Super-Family Parameters</t>
  </si>
  <si>
    <t>Population Size Parameters (Internal)</t>
  </si>
  <si>
    <t>Connection Probability Parameters (Internal-Internal)</t>
  </si>
  <si>
    <t>Population Size Parameters (External)</t>
  </si>
  <si>
    <t>Single-Compartment IM Parameters</t>
  </si>
  <si>
    <t>Absolute Conductance Parameters (Internal-Internal)</t>
  </si>
  <si>
    <t>Total</t>
  </si>
  <si>
    <t>U Parameters (Internal-Internal)</t>
  </si>
  <si>
    <t>Rise Time Constant Parameters (Internal-Internal)</t>
  </si>
  <si>
    <t>Decay Time Constant Parameters (Internal-Internal)</t>
  </si>
  <si>
    <t>Facilitation Time Constant Parameters (Internal-Internal)</t>
  </si>
  <si>
    <t>CA3 SNN Parameters</t>
  </si>
  <si>
    <t>The tables below summarize the number of parameter PDFs for the reduced scaled CA3 SNN assuming the PDF is described with two variables (e.g. mean and standard deviation)</t>
  </si>
  <si>
    <t>Cell Types</t>
  </si>
  <si>
    <t>Internal/External</t>
  </si>
  <si>
    <t>Excitatory/Inhibitory</t>
  </si>
  <si>
    <t xml:space="preserve"> CA3 Axo-Axonic,  CA3 Pyramidal</t>
  </si>
  <si>
    <t>CA3 Pyramidal</t>
  </si>
  <si>
    <t>Internal</t>
  </si>
  <si>
    <t>Excitatory</t>
  </si>
  <si>
    <t xml:space="preserve"> CA3 Basket,  CA3 Axo-Axonic</t>
  </si>
  <si>
    <t>CA3 Axo-Axonic</t>
  </si>
  <si>
    <t>Inhibitory</t>
  </si>
  <si>
    <t xml:space="preserve"> CA3 Basket,  CA3 Basket</t>
  </si>
  <si>
    <t>CA3 Basket</t>
  </si>
  <si>
    <t xml:space="preserve"> CA3 Basket,  CA3 BC CCK+</t>
  </si>
  <si>
    <t>CA3 BC CCK+</t>
  </si>
  <si>
    <t xml:space="preserve"> CA3 Basket,  CA3 Bistratified</t>
  </si>
  <si>
    <t>CA3 Bistratified</t>
  </si>
  <si>
    <t>CA3 Ivy</t>
  </si>
  <si>
    <t xml:space="preserve"> CA3 Basket,  CA3 Pyramidal</t>
  </si>
  <si>
    <t xml:space="preserve"> CA3 BC CCK+,  CA3 Axo-Axonic</t>
  </si>
  <si>
    <t>CA3 MFA ORDEN</t>
  </si>
  <si>
    <t xml:space="preserve"> CA3 BC CCK+,  CA3 Basket</t>
  </si>
  <si>
    <t xml:space="preserve"> CA3 BC CCK+,  CA3 BC CCK+</t>
  </si>
  <si>
    <t xml:space="preserve"> CA3 BC CCK+,  CA3 Bistratified</t>
  </si>
  <si>
    <t xml:space="preserve"> CA3 BC CCK+,  CA3 Pyramidal</t>
  </si>
  <si>
    <t xml:space="preserve"> CA3 Bistratified,  CA3 Axo-Axonic</t>
  </si>
  <si>
    <t xml:space="preserve"> CA3 Bistratified,  CA3 Basket</t>
  </si>
  <si>
    <t xml:space="preserve"> CA3 Bistratified,  CA3 BC CCK+</t>
  </si>
  <si>
    <t xml:space="preserve"> CA3 Bistratified,  CA3 Bistratified</t>
  </si>
  <si>
    <t xml:space="preserve"> CA3 Bistratified,  CA3 Ivy</t>
  </si>
  <si>
    <t xml:space="preserve"> CA3 Bistratified,  CA3 Pyramidal</t>
  </si>
  <si>
    <t xml:space="preserve"> CA3 Ivy,  CA3 Axo-Axonic</t>
  </si>
  <si>
    <t xml:space="preserve"> CA3 Ivy,  CA3 Basket</t>
  </si>
  <si>
    <t xml:space="preserve"> CA3 Ivy,  CA3 BC CCK+</t>
  </si>
  <si>
    <t xml:space="preserve"> CA3 Ivy,  CA3 Bistratified</t>
  </si>
  <si>
    <t xml:space="preserve"> CA3 Ivy,  CA3 Ivy</t>
  </si>
  <si>
    <t xml:space="preserve"> CA3 Ivy,  CA3 Pyramidal</t>
  </si>
  <si>
    <t xml:space="preserve"> CA3 Pyramidal,  CA3 Axo-Axonic</t>
  </si>
  <si>
    <t xml:space="preserve"> CA3 Pyramidal,  CA3 Basket</t>
  </si>
  <si>
    <t xml:space="preserve"> CA3 Pyramidal,  CA3 BC CCK+</t>
  </si>
  <si>
    <t xml:space="preserve"> CA3 Pyramidal,  CA3 Bistratified</t>
  </si>
  <si>
    <t xml:space="preserve"> CA3 Pyramidal,  CA3 Ivy</t>
  </si>
  <si>
    <t xml:space="preserve"> CA3 Pyramidal,  CA3 Pyramidal</t>
  </si>
  <si>
    <t>Pre-Post</t>
  </si>
  <si>
    <t>PI</t>
  </si>
  <si>
    <t>X</t>
  </si>
  <si>
    <t>KE = Known Exc.</t>
  </si>
  <si>
    <t>KI</t>
  </si>
  <si>
    <t>PE = Potential Exc.</t>
  </si>
  <si>
    <t>KI = Known Inh.</t>
  </si>
  <si>
    <t>PI = Potential Inh.</t>
  </si>
  <si>
    <t>X = Refuted Conn.</t>
  </si>
  <si>
    <t xml:space="preserve"> X = No overlap</t>
  </si>
  <si>
    <t>KE</t>
  </si>
  <si>
    <t>PE</t>
  </si>
  <si>
    <t>Neuron Type (Internal)</t>
  </si>
  <si>
    <t>Population Size (Internal)</t>
  </si>
  <si>
    <t xml:space="preserve"> </t>
  </si>
  <si>
    <t>Neuron Type</t>
  </si>
  <si>
    <t>k_mean</t>
  </si>
  <si>
    <t>k_std</t>
  </si>
  <si>
    <t>a_mean</t>
  </si>
  <si>
    <t>a_std</t>
  </si>
  <si>
    <t>b_mean</t>
  </si>
  <si>
    <t>b_std</t>
  </si>
  <si>
    <t>d_mean</t>
  </si>
  <si>
    <t>d_std</t>
  </si>
  <si>
    <t>C_mean</t>
  </si>
  <si>
    <t>C_std</t>
  </si>
  <si>
    <t>Vr_mean</t>
  </si>
  <si>
    <t>Vr_std</t>
  </si>
  <si>
    <t>Vt_mean</t>
  </si>
  <si>
    <t>Vt_std</t>
  </si>
  <si>
    <t>Vmin_mean</t>
  </si>
  <si>
    <t>Vmin_std</t>
  </si>
  <si>
    <t>Vpeak_mean</t>
  </si>
  <si>
    <t>Vpeak_std</t>
  </si>
  <si>
    <t>Estimate Type</t>
  </si>
  <si>
    <t>Estimate Count</t>
  </si>
  <si>
    <t>Default Parameter List</t>
  </si>
  <si>
    <t>Count of Default Parameter Type</t>
  </si>
  <si>
    <t>Parameter value</t>
  </si>
  <si>
    <t>Related Notes on Parameter</t>
  </si>
  <si>
    <t>loggerMode</t>
  </si>
  <si>
    <t>USER</t>
  </si>
  <si>
    <t>Messages in simulation displayed to console</t>
  </si>
  <si>
    <t>ithGPU</t>
  </si>
  <si>
    <t>simulation specified to run on the first GPU</t>
  </si>
  <si>
    <t>randSeed</t>
  </si>
  <si>
    <t>simulation does not use a random seed</t>
  </si>
  <si>
    <t>trNMDA</t>
  </si>
  <si>
    <t>NMDA rise time constant (ms)</t>
  </si>
  <si>
    <t>trGABAb</t>
  </si>
  <si>
    <t>GABAb rise time constant (ms)</t>
  </si>
  <si>
    <t>y (spatial grid dimension)</t>
  </si>
  <si>
    <t>spatial grid not set up by default in y dimension</t>
  </si>
  <si>
    <t>z (spatial grid dimension)</t>
  </si>
  <si>
    <t>spatial grid not set up by default in z dimension</t>
  </si>
  <si>
    <t>preferredPartition</t>
  </si>
  <si>
    <t>ANY</t>
  </si>
  <si>
    <t>Creation of the group of neurons on the first (default) GPU</t>
  </si>
  <si>
    <t>preferredBackend</t>
  </si>
  <si>
    <t>GPU_CORES</t>
  </si>
  <si>
    <t>Processing unit type for the simulation where the group of neurons will be instantiated</t>
  </si>
  <si>
    <t>wt.min</t>
  </si>
  <si>
    <t>synapse maximum default weight</t>
  </si>
  <si>
    <t>wt.max</t>
  </si>
  <si>
    <t>synapse minimum default weight</t>
  </si>
  <si>
    <t>delay.min</t>
  </si>
  <si>
    <t>synaptic minimum delay (ms)</t>
  </si>
  <si>
    <t>delay.max</t>
  </si>
  <si>
    <t>synaptic maximum delay (ms)</t>
  </si>
  <si>
    <t>RadiusRF</t>
  </si>
  <si>
    <t>no receptive field set by default</t>
  </si>
  <si>
    <t>mulSynFast</t>
  </si>
  <si>
    <t>no multiplicative factor set by default for fast synaptic currents (AMPA and GABAa)</t>
  </si>
  <si>
    <t>mulSynSlow</t>
  </si>
  <si>
    <t>no multiplicative factor set by default for slow synaptic currents (AMPA and GABAb)</t>
  </si>
  <si>
    <t>filename</t>
  </si>
  <si>
    <t>"Default"</t>
  </si>
  <si>
    <t>default file directory to store spike time data for a group of neurons</t>
  </si>
  <si>
    <t>SpikeMonMode</t>
  </si>
  <si>
    <t>AER</t>
  </si>
  <si>
    <t>default mode is to collect exact spike times for each individual neuron in a group</t>
  </si>
  <si>
    <t>refPeriod</t>
  </si>
  <si>
    <t>default refractory period set to 1 ms by default</t>
  </si>
  <si>
    <t>Gold, Accent 4, Lighter 80%</t>
  </si>
  <si>
    <t>CARLsim4 physiological parameters with parallel to SNN framework</t>
  </si>
  <si>
    <t>Gold, Accent 4, Lighter 40%</t>
  </si>
  <si>
    <t>CARLsim4 service parameters</t>
  </si>
  <si>
    <t>Gold, Accent 4</t>
  </si>
  <si>
    <t>Poisson Firing Rate Parameters (External)</t>
  </si>
  <si>
    <t>Single-Compartment IM Parameters (Internal)</t>
  </si>
  <si>
    <t>wt.init</t>
  </si>
  <si>
    <t>synase initial default weight</t>
  </si>
  <si>
    <t>Gold, Accent 4, Darker 25%</t>
  </si>
  <si>
    <t>Summary of Parameter Estimates</t>
  </si>
  <si>
    <t>CA3 Axo-Axonic (mean)</t>
  </si>
  <si>
    <t>CA3 Basket (mean)</t>
  </si>
  <si>
    <t>CA3 BC CCK+ (mean)</t>
  </si>
  <si>
    <t>CA3 Bistratified (mean)</t>
  </si>
  <si>
    <t>CA3 Ivy (mean)</t>
  </si>
  <si>
    <t>CA3 MFA ORDEN (mean)</t>
  </si>
  <si>
    <t>CA3 Pyramidal (mean)</t>
  </si>
  <si>
    <t>CA3 Axo-Axonic (std)</t>
  </si>
  <si>
    <t>CA3 Basket (std)</t>
  </si>
  <si>
    <t>CA3 BC CCK+ (std)</t>
  </si>
  <si>
    <t>CA3 Bistratified (std)</t>
  </si>
  <si>
    <t>CA3 Ivy (std)</t>
  </si>
  <si>
    <t>CA3 MFA ORDEN (std)</t>
  </si>
  <si>
    <t>CA3 Pyramidal (std)</t>
  </si>
  <si>
    <t>Physiological parameters that currently have no parallel to SNN framework, and will not in the future</t>
  </si>
  <si>
    <t>Physiological parameters that currently have no parallel to SNN framework, but might in the future</t>
  </si>
  <si>
    <t>Estimates inferred from related data</t>
  </si>
  <si>
    <t>Estimate Level 1</t>
  </si>
  <si>
    <t>Estimate Level 2</t>
  </si>
  <si>
    <t>Estimate Level 3</t>
  </si>
  <si>
    <t>Estimate Level 4</t>
  </si>
  <si>
    <t>Estimate Level 5</t>
  </si>
  <si>
    <t>Example: The AMPA decay time constant (tdAMPA) has a direct parallel to our framework, as it is currently used as the tau_I for excitatory neuron types</t>
  </si>
  <si>
    <t>Example: Messages that are displayed to the terminal are governed by the loggerMode</t>
  </si>
  <si>
    <t xml:space="preserve">Example: the rise time constant for NMDA (trNMDA) has no current parallel to our framework, but we may implement it in the future in our framework </t>
  </si>
  <si>
    <t>Example: there are no receptive fields in CA3, so RadiusRF has no parallel and never will with our framework</t>
  </si>
  <si>
    <t>Estimate Example</t>
  </si>
  <si>
    <t xml:space="preserve">The IM parameter k_mean for the CA3 Bistratified neuron type adopts the value from the CA1 Bistratified neuron type </t>
  </si>
  <si>
    <t xml:space="preserve">The probability of connection between the CA3 Pyramidal/CA3 Axo-Axonic synapse type is computed using experimental measurements from both neuron types </t>
  </si>
  <si>
    <t>We currently do not have an estimate for the probability of connection of the CA3 Axo-Axonic/CA3 pyramidal synapse type, so we have used a value that reflects a high probability (relative to other synapse types in our reduced network) of connection since Axo-Axonic neurons only contact Pyramidal neurons</t>
  </si>
  <si>
    <t>Total Synapses by Neuron Type (Framework)</t>
  </si>
  <si>
    <t>CA3 QuadD-LM</t>
  </si>
  <si>
    <t>CA3 QuadD-LM (mean)</t>
  </si>
  <si>
    <t>CA3 QuadD-LM (std)</t>
  </si>
  <si>
    <t>Absolute Synaptic Conductance (A) between (pre-synaptic type) and (post-synaptic type)</t>
  </si>
  <si>
    <t>CA3 QuadD-LM</t>
  </si>
  <si>
    <t>CA3 Axo-Axonic</t>
  </si>
  <si>
    <t>CA3 Basket</t>
  </si>
  <si>
    <t>CA3 BC CCK+</t>
  </si>
  <si>
    <t>CA3 Bistratified</t>
  </si>
  <si>
    <t>CA3 Ivy</t>
  </si>
  <si>
    <t>CA3 MFA ORDEN</t>
  </si>
  <si>
    <t>CA3 Pyramidal</t>
  </si>
  <si>
    <t>CA3 Axo-Axonic (mean)</t>
  </si>
  <si>
    <t>CA3 Axo-Axonic (std)</t>
  </si>
  <si>
    <t>CA3 Basket (mean)</t>
  </si>
  <si>
    <t>CA3 Basket (std)</t>
  </si>
  <si>
    <t>CA3 BC CCK+ (mean)</t>
  </si>
  <si>
    <t>CA3 BC CCK+ (std)</t>
  </si>
  <si>
    <t>CA3 Bistratified (mean)</t>
  </si>
  <si>
    <t>CA3 Bistratified (std)</t>
  </si>
  <si>
    <t>CA3 Ivy (mean)</t>
  </si>
  <si>
    <t>CA3 Ivy (std)</t>
  </si>
  <si>
    <t>CA3 QuadD-LM (mean)</t>
  </si>
  <si>
    <t>CA3 QuadD-LM (std)</t>
  </si>
  <si>
    <t>CA3 MFA ORDEN (mean)</t>
  </si>
  <si>
    <t>CA3 MFA ORDEN (std)</t>
  </si>
  <si>
    <t>CA3 Pyramidal (mean)</t>
  </si>
  <si>
    <t>CA3 Pyramidal (std)</t>
  </si>
  <si>
    <t>U</t>
  </si>
  <si>
    <t>CA3 QuadD-LM</t>
  </si>
  <si>
    <t>CA3 Axo-Axonic</t>
  </si>
  <si>
    <t>CA3 Basket</t>
  </si>
  <si>
    <t>CA3 BC CCK+</t>
  </si>
  <si>
    <t>CA3 Bistratified</t>
  </si>
  <si>
    <t>CA3 Ivy</t>
  </si>
  <si>
    <t>CA3 MFA ORDEN</t>
  </si>
  <si>
    <t>CA3 Pyramidal</t>
  </si>
  <si>
    <t>CA3 Axo-Axonic (mean)</t>
  </si>
  <si>
    <t>CA3 Axo-Axonic (std)</t>
  </si>
  <si>
    <t>CA3 Basket (mean)</t>
  </si>
  <si>
    <t>CA3 Basket (std)</t>
  </si>
  <si>
    <t>CA3 BC CCK+ (mean)</t>
  </si>
  <si>
    <t>CA3 BC CCK+ (std)</t>
  </si>
  <si>
    <t>CA3 Bistratified (mean)</t>
  </si>
  <si>
    <t>CA3 Bistratified (std)</t>
  </si>
  <si>
    <t>CA3 Ivy (mean)</t>
  </si>
  <si>
    <t>CA3 Ivy (std)</t>
  </si>
  <si>
    <t>CA3 QuadD-LM (mean)</t>
  </si>
  <si>
    <t>CA3 QuadD-LM (std)</t>
  </si>
  <si>
    <t>CA3 MFA ORDEN (mean)</t>
  </si>
  <si>
    <t>CA3 MFA ORDEN (std)</t>
  </si>
  <si>
    <t>CA3 Pyramidal (mean)</t>
  </si>
  <si>
    <t>CA3 Pyramidal (std)</t>
  </si>
  <si>
    <t>tau_rec</t>
  </si>
  <si>
    <t>CA3 QuadD-LM</t>
  </si>
  <si>
    <t>CA3 Axo-Axonic</t>
  </si>
  <si>
    <t>CA3 Basket</t>
  </si>
  <si>
    <t>CA3 BC CCK+</t>
  </si>
  <si>
    <t>CA3 Bistratified</t>
  </si>
  <si>
    <t>CA3 Ivy</t>
  </si>
  <si>
    <t>CA3 MFA ORDEN</t>
  </si>
  <si>
    <t>CA3 Pyramidal</t>
  </si>
  <si>
    <t>CA3 Axo-Axonic (mean)</t>
  </si>
  <si>
    <t>CA3 Axo-Axonic (std)</t>
  </si>
  <si>
    <t>CA3 Basket (mean)</t>
  </si>
  <si>
    <t>CA3 Basket (std)</t>
  </si>
  <si>
    <t>CA3 BC CCK+ (mean)</t>
  </si>
  <si>
    <t>CA3 BC CCK+ (std)</t>
  </si>
  <si>
    <t>CA3 Bistratified (mean)</t>
  </si>
  <si>
    <t>CA3 Bistratified (std)</t>
  </si>
  <si>
    <t>CA3 Ivy (mean)</t>
  </si>
  <si>
    <t>CA3 Ivy (std)</t>
  </si>
  <si>
    <t>CA3 QuadD-LM (mean)</t>
  </si>
  <si>
    <t>CA3 QuadD-LM (std)</t>
  </si>
  <si>
    <t>CA3 MFA ORDEN (mean)</t>
  </si>
  <si>
    <t>CA3 MFA ORDEN (std)</t>
  </si>
  <si>
    <t>CA3 Pyramidal (mean)</t>
  </si>
  <si>
    <t>CA3 Pyramidal (std)</t>
  </si>
  <si>
    <t>tau_d</t>
  </si>
  <si>
    <t>CA3 QuadD-LM</t>
  </si>
  <si>
    <t>CA3 Axo-Axonic</t>
  </si>
  <si>
    <t>CA3 Basket</t>
  </si>
  <si>
    <t>CA3 BC CCK+</t>
  </si>
  <si>
    <t>CA3 Bistratified</t>
  </si>
  <si>
    <t>CA3 Ivy</t>
  </si>
  <si>
    <t>CA3 MFA ORDEN</t>
  </si>
  <si>
    <t>CA3 Pyramidal</t>
  </si>
  <si>
    <t>CA3 Axo-Axonic (mean)</t>
  </si>
  <si>
    <t>CA3 Axo-Axonic (std)</t>
  </si>
  <si>
    <t>CA3 Basket (mean)</t>
  </si>
  <si>
    <t>CA3 Basket (std)</t>
  </si>
  <si>
    <t>CA3 BC CCK+ (mean)</t>
  </si>
  <si>
    <t>CA3 BC CCK+ (std)</t>
  </si>
  <si>
    <t>CA3 Bistratified (mean)</t>
  </si>
  <si>
    <t>CA3 Bistratified (std)</t>
  </si>
  <si>
    <t>CA3 Ivy (mean)</t>
  </si>
  <si>
    <t>CA3 Ivy (std)</t>
  </si>
  <si>
    <t>CA3 QuadD-LM (mean)</t>
  </si>
  <si>
    <t>CA3 QuadD-LM (std)</t>
  </si>
  <si>
    <t>CA3 MFA ORDEN (mean)</t>
  </si>
  <si>
    <t>CA3 MFA ORDEN (std)</t>
  </si>
  <si>
    <t>CA3 Pyramidal (mean)</t>
  </si>
  <si>
    <t>CA3 Pyramidal (std)</t>
  </si>
  <si>
    <t>tau_facil</t>
  </si>
  <si>
    <t>CA3 QuadD-LM</t>
  </si>
  <si>
    <t>CA3 Axo-Axonic</t>
  </si>
  <si>
    <t>CA3 Basket</t>
  </si>
  <si>
    <t>CA3 BC CCK+</t>
  </si>
  <si>
    <t>CA3 Bistratified</t>
  </si>
  <si>
    <t>CA3 Ivy</t>
  </si>
  <si>
    <t>CA3 MFA ORDEN</t>
  </si>
  <si>
    <t>CA3 Pyramidal</t>
  </si>
  <si>
    <t>CA3 Axo-Axonic (mean)</t>
  </si>
  <si>
    <t>CA3 Axo-Axonic (std)</t>
  </si>
  <si>
    <t>CA3 Basket (mean)</t>
  </si>
  <si>
    <t>CA3 Basket (std)</t>
  </si>
  <si>
    <t>CA3 BC CCK+ (mean)</t>
  </si>
  <si>
    <t>CA3 BC CCK+ (std)</t>
  </si>
  <si>
    <t>CA3 Bistratified (mean)</t>
  </si>
  <si>
    <t>CA3 Bistratified (std)</t>
  </si>
  <si>
    <t>CA3 Ivy (mean)</t>
  </si>
  <si>
    <t>CA3 Ivy (std)</t>
  </si>
  <si>
    <t>CA3 QuadD-LM (mean)</t>
  </si>
  <si>
    <t>CA3 QuadD-LM (std)</t>
  </si>
  <si>
    <t>CA3 MFA ORDEN (mean)</t>
  </si>
  <si>
    <t>CA3 MFA ORDEN (std)</t>
  </si>
  <si>
    <t>CA3 Pyramidal (mean)</t>
  </si>
  <si>
    <t>CA3 Pyramidal (std)</t>
  </si>
  <si>
    <t>Pre-Post</t>
  </si>
  <si>
    <t>CA3 QuadD-LM</t>
  </si>
  <si>
    <t>CA3 Axo-Axonic</t>
  </si>
  <si>
    <t>CA3 Basket</t>
  </si>
  <si>
    <t>CA3 BC CCK+</t>
  </si>
  <si>
    <t>CA3 Bistratified</t>
  </si>
  <si>
    <t>CA3 Ivy</t>
  </si>
  <si>
    <t>CA3 MFA ORDEN</t>
  </si>
  <si>
    <t>CA3 Pyramidal</t>
  </si>
  <si>
    <t>CA3 Axo-Axonic</t>
  </si>
  <si>
    <t>CA3 Basket</t>
  </si>
  <si>
    <t>CA3 BC CCK+</t>
  </si>
  <si>
    <t>CA3 Bistratified</t>
  </si>
  <si>
    <t>CA3 Ivy</t>
  </si>
  <si>
    <t>CA3 QuadD-LM</t>
  </si>
  <si>
    <t>CA3 MFA ORDEN</t>
  </si>
  <si>
    <t>CA3 Pyramidal</t>
  </si>
  <si>
    <t>Weight (CARLsim w)</t>
  </si>
  <si>
    <t xml:space="preserve">Parameter estimates for a spiking neural network model (SNN) utilizing 8 neuron types in the mouse hippocampus have been provided within this document. We have estimated that 713 total parameters will be needed to define the SNN (Parameter PDF Summary CA3_net tab; C7), assuming that a mean and standard deviation are defined for the Izhikevich and Tsodyks-Markram parameter sets. If only a mean is defined, then 713 - 5*51 - 1*72 = 386 parameters will need to be defined. When the synaptic delays are also considered, then the number of parameters estimates increases by 51, yielding a total of 386 + 51 = 437 parameter estimates to define the CA3 SNN.  
</t>
  </si>
  <si>
    <t xml:space="preserve">We don’t have any estimates that would be assigned default values. However, an example in the case we did would be that if we did not have the absolute synaptic conductance for the CA3 Pyramidal/CA3 Axo-Axonic synapse type , we would use the default conductance (1.0) for synapse types in CARLsim4 </t>
  </si>
  <si>
    <t>We don't have any estimates inferred from relevant data. In previous iterations, the population size for Ivy cells was computed from multiplying the numerical density of GABAergic neurons in SL by the volume of SL, and then further divided by the number of cell types that had somata in SL.</t>
  </si>
  <si>
    <t xml:space="preserve"> CA3 Basket, CA3 MFA ORDEN</t>
  </si>
  <si>
    <t xml:space="preserve"> CA3 Basket,  CA3 QuadD-LM</t>
  </si>
  <si>
    <t xml:space="preserve"> From,  To (internal: N=51)</t>
  </si>
  <si>
    <t xml:space="preserve"> CA3 BC CCK+,  CA3 QuadD-LM</t>
  </si>
  <si>
    <t xml:space="preserve"> CA3 BC CCK+, CA3 MFA ORDEN</t>
  </si>
  <si>
    <t xml:space="preserve"> CA3 Bistratified,  CA3 QuadD-LM</t>
  </si>
  <si>
    <t xml:space="preserve"> CA3 Bistratified, CA3 MFA ORDEN</t>
  </si>
  <si>
    <t xml:space="preserve"> CA3 Ivy,  CA3 QuadD-LM</t>
  </si>
  <si>
    <t xml:space="preserve"> CA3 Ivy, CA3 MFA ORDEN</t>
  </si>
  <si>
    <t xml:space="preserve"> CA3 Pyramidal,  CA3 QuadD-LM</t>
  </si>
  <si>
    <t xml:space="preserve"> CA3 Pyramidal, CA3 MFA ORDEN</t>
  </si>
  <si>
    <t xml:space="preserve"> CA3 QuadD-LM,  CA3 Axo-Axonic</t>
  </si>
  <si>
    <t xml:space="preserve"> CA3 QuadD-LM,  CA3 Basket</t>
  </si>
  <si>
    <t xml:space="preserve"> CA3 QuadD-LM,  CA3 BC CCK+</t>
  </si>
  <si>
    <t xml:space="preserve"> CA3 QuadD-LM,  CA3 Pyramidal</t>
  </si>
  <si>
    <t>CA3 MFA ORDEN,  CA3 Axo-Axonic</t>
  </si>
  <si>
    <t>CA3 MFA ORDEN,  CA3 Basket</t>
  </si>
  <si>
    <t>CA3 MFA ORDEN,  CA3 BC CCK+</t>
  </si>
  <si>
    <t>CA3 MFA ORDEN,  CA3 Bistratified</t>
  </si>
  <si>
    <t>CA3 MFA ORDEN,  CA3 Ivy</t>
  </si>
  <si>
    <t>CA3 MFA ORDEN,  CA3 Pyramidal</t>
  </si>
  <si>
    <t>CA3 MFA ORDEN,  CA3 QuadD-LM</t>
  </si>
  <si>
    <t>CA3 MFA ORDEN, CA3 MFA ORDEN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</si>
</sst>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0000000"/>
  </numFmts>
  <fonts count="11" x14ac:knownFonts="1">
    <font>
      <sz val="11"/>
      <color theme="1"/>
      <name val="Calibri"/>
      <family val="2"/>
      <scheme val="minor"/>
    </font>
    <font>
      <b/>
      <sz val="12"/>
      <color theme="4"/>
      <name val="Calibri"/>
      <family val="2"/>
      <scheme val="minor"/>
    </font>
    <font>
      <b/>
      <sz val="12"/>
      <color rgb="FF00B050"/>
      <name val="Calibri"/>
      <family val="2"/>
      <scheme val="minor"/>
    </font>
    <font>
      <b/>
      <sz val="12"/>
      <name val="Calibri"/>
      <family val="2"/>
      <scheme val="minor"/>
    </font>
    <font>
      <b/>
      <sz val="12"/>
      <color rgb="FFFF0000"/>
      <name val="Calibri"/>
      <family val="2"/>
      <scheme val="minor"/>
    </font>
    <font>
      <sz val="12"/>
      <name val="Calibri"/>
      <family val="2"/>
      <scheme val="minor"/>
    </font>
    <font>
      <sz val="11"/>
      <color rgb="FF000000"/>
      <name val="Calibri"/>
      <family val="2"/>
      <scheme val="minor"/>
    </font>
    <font>
      <b/>
      <sz val="14"/>
      <name val="Calibri"/>
      <family val="2"/>
      <scheme val="minor"/>
    </font>
    <font>
      <sz val="11"/>
      <name val="Calibri"/>
      <family val="2"/>
      <scheme val="minor"/>
    </font>
    <font>
      <u/>
      <sz val="11"/>
      <color theme="10"/>
      <name val="Calibri"/>
      <family val="2"/>
      <scheme val="minor"/>
    </font>
    <font>
      <sz val="11"/>
      <color theme="1"/>
      <name val="Calibri"/>
      <family val="2"/>
      <scheme val="minor"/>
    </font>
  </fonts>
  <fills count="16">
    <fill>
      <patternFill patternType="none"/>
    </fill>
    <fill>
      <patternFill patternType="gray125"/>
    </fill>
    <fill>
      <patternFill patternType="solid">
        <fgColor rgb="FF00B0F0"/>
        <bgColor indexed="64"/>
      </patternFill>
    </fill>
    <fill>
      <patternFill patternType="solid">
        <fgColor rgb="FF000000"/>
        <bgColor indexed="64"/>
      </patternFill>
    </fill>
    <fill>
      <patternFill patternType="solid">
        <fgColor rgb="FF00B050"/>
        <bgColor indexed="64"/>
      </patternFill>
    </fill>
    <fill>
      <patternFill patternType="solid">
        <fgColor theme="1"/>
        <bgColor indexed="64"/>
      </patternFill>
    </fill>
    <fill>
      <patternFill patternType="solid">
        <fgColor rgb="FFFFFF00"/>
        <bgColor indexed="64"/>
      </patternFill>
    </fill>
    <fill>
      <patternFill patternType="solid">
        <fgColor theme="7" tint="0.39997558519241921"/>
        <bgColor indexed="64"/>
      </patternFill>
    </fill>
    <fill>
      <patternFill patternType="solid">
        <fgColor theme="7"/>
        <bgColor indexed="64"/>
      </patternFill>
    </fill>
    <fill>
      <patternFill patternType="solid">
        <fgColor theme="7" tint="0.79995117038483843"/>
        <bgColor indexed="64"/>
      </patternFill>
    </fill>
    <fill>
      <patternFill patternType="solid">
        <fgColor theme="7" tint="-0.24994659260841701"/>
        <bgColor indexed="64"/>
      </patternFill>
    </fill>
    <fill>
      <patternFill patternType="solid">
        <fgColor rgb="FFFF0000"/>
        <bgColor indexed="64"/>
      </patternFill>
    </fill>
    <fill>
      <patternFill patternType="solid">
        <fgColor theme="5"/>
        <bgColor indexed="64"/>
      </patternFill>
    </fill>
    <fill>
      <patternFill patternType="solid">
        <fgColor theme="5" tint="-0.24994659260841701"/>
        <bgColor indexed="64"/>
      </patternFill>
    </fill>
    <fill>
      <patternFill patternType="solid">
        <fgColor theme="7" tint="0.79998168889431442"/>
        <bgColor indexed="64"/>
      </patternFill>
    </fill>
    <fill>
      <patternFill patternType="solid">
        <fgColor theme="0"/>
        <bgColor indexed="64"/>
      </patternFill>
    </fill>
  </fills>
  <borders count="15">
    <border>
      <left/>
      <right/>
      <top/>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style="medium">
        <color indexed="64"/>
      </right>
      <top/>
      <bottom/>
      <diagonal/>
    </border>
    <border>
      <left style="thick">
        <color auto="1"/>
      </left>
      <right style="thick">
        <color auto="1"/>
      </right>
      <top style="thick">
        <color auto="1"/>
      </top>
      <bottom style="thick">
        <color auto="1"/>
      </bottom>
      <diagonal/>
    </border>
    <border>
      <left style="thin">
        <color indexed="64"/>
      </left>
      <right/>
      <top style="thin">
        <color indexed="64"/>
      </top>
      <bottom style="thin">
        <color indexed="64"/>
      </bottom>
      <diagonal/>
    </border>
    <border>
      <left/>
      <right/>
      <top/>
      <bottom/>
      <diagonal/>
    </border>
    <border>
      <left/>
      <right/>
      <top/>
      <bottom/>
      <diagonal/>
    </border>
    <border>
      <left/>
      <right/>
      <top/>
      <bottom/>
      <diagonal/>
    </border>
    <border>
      <left/>
      <right/>
      <top/>
      <bottom/>
      <diagonal/>
    </border>
    <border>
      <left/>
      <right/>
      <top/>
      <bottom/>
      <diagonal/>
    </border>
  </borders>
  <cellStyleXfs count="2">
    <xf numFmtId="0" fontId="0" fillId="0" borderId="0"/>
    <xf numFmtId="0" fontId="9" fillId="0" borderId="0" applyNumberFormat="0" applyFill="0" applyBorder="0" applyAlignment="0" applyProtection="0"/>
  </cellStyleXfs>
  <cellXfs count="80">
    <xf numFmtId="0" fontId="0" fillId="0" borderId="0" xfId="0"/>
    <xf numFmtId="3" fontId="0" fillId="0" borderId="0" xfId="0" applyNumberFormat="1"/>
    <xf numFmtId="164" fontId="3" fillId="0" borderId="0" xfId="0" quotePrefix="1" applyNumberFormat="1" applyFont="1" applyAlignment="1">
      <alignment horizontal="center" vertical="center"/>
    </xf>
    <xf numFmtId="164" fontId="1" fillId="0" borderId="1" xfId="0" quotePrefix="1" applyNumberFormat="1" applyFont="1" applyBorder="1" applyAlignment="1">
      <alignment horizontal="center" vertical="center"/>
    </xf>
    <xf numFmtId="164" fontId="1" fillId="0" borderId="0" xfId="0" applyNumberFormat="1" applyFont="1" applyAlignment="1">
      <alignment horizontal="center" vertical="center"/>
    </xf>
    <xf numFmtId="164" fontId="1" fillId="0" borderId="2" xfId="0" quotePrefix="1" applyNumberFormat="1" applyFont="1" applyBorder="1" applyAlignment="1">
      <alignment horizontal="center" vertical="center"/>
    </xf>
    <xf numFmtId="164" fontId="1" fillId="0" borderId="2" xfId="0" applyNumberFormat="1" applyFont="1" applyBorder="1" applyAlignment="1">
      <alignment horizontal="center" vertical="center"/>
    </xf>
    <xf numFmtId="164" fontId="4" fillId="0" borderId="2" xfId="0" applyNumberFormat="1" applyFont="1" applyBorder="1" applyAlignment="1">
      <alignment horizontal="center" vertical="center"/>
    </xf>
    <xf numFmtId="0" fontId="0" fillId="0" borderId="0" xfId="0" applyAlignment="1">
      <alignment horizontal="center" vertical="center"/>
    </xf>
    <xf numFmtId="0" fontId="5" fillId="0" borderId="3" xfId="0" applyFont="1" applyBorder="1" applyAlignment="1">
      <alignment horizontal="center" vertical="center"/>
    </xf>
    <xf numFmtId="0" fontId="7" fillId="0" borderId="3" xfId="0" applyFont="1" applyBorder="1" applyAlignment="1">
      <alignment horizontal="center" vertical="center" wrapText="1"/>
    </xf>
    <xf numFmtId="0" fontId="7" fillId="0" borderId="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6" xfId="0" applyFont="1" applyBorder="1" applyAlignment="1">
      <alignment horizontal="center" vertical="center" wrapText="1"/>
    </xf>
    <xf numFmtId="164" fontId="2" fillId="0" borderId="2" xfId="0" quotePrefix="1" applyNumberFormat="1" applyFont="1" applyBorder="1" applyAlignment="1">
      <alignment horizontal="center" vertical="center"/>
    </xf>
    <xf numFmtId="0" fontId="0" fillId="0" borderId="0" xfId="0" applyAlignment="1">
      <alignment horizontal="center" vertical="center" wrapText="1"/>
    </xf>
    <xf numFmtId="164" fontId="2" fillId="0" borderId="8" xfId="0" quotePrefix="1" applyNumberFormat="1" applyFont="1" applyBorder="1" applyAlignment="1">
      <alignment horizontal="center" vertical="center"/>
    </xf>
    <xf numFmtId="164" fontId="1" fillId="0" borderId="8" xfId="0" quotePrefix="1" applyNumberFormat="1" applyFont="1" applyBorder="1" applyAlignment="1">
      <alignment horizontal="center" vertical="center"/>
    </xf>
    <xf numFmtId="164" fontId="4" fillId="0" borderId="8" xfId="0" applyNumberFormat="1" applyFont="1" applyBorder="1" applyAlignment="1">
      <alignment horizontal="center" vertical="center"/>
    </xf>
    <xf numFmtId="10" fontId="0" fillId="0" borderId="0" xfId="0" applyNumberFormat="1" applyAlignment="1">
      <alignment horizontal="center" vertical="center"/>
    </xf>
    <xf numFmtId="0" fontId="0" fillId="0" borderId="3" xfId="0" applyBorder="1" applyAlignment="1">
      <alignment horizontal="center" vertical="center" wrapText="1"/>
    </xf>
    <xf numFmtId="0" fontId="7" fillId="0" borderId="7" xfId="0" applyFont="1" applyBorder="1" applyAlignment="1">
      <alignment horizontal="center" vertical="center" wrapText="1"/>
    </xf>
    <xf numFmtId="0" fontId="7" fillId="0" borderId="2" xfId="0" applyFont="1" applyBorder="1" applyAlignment="1">
      <alignment horizontal="center" vertical="center" wrapText="1"/>
    </xf>
    <xf numFmtId="0" fontId="5" fillId="0" borderId="2" xfId="0" applyFont="1" applyBorder="1" applyAlignment="1">
      <alignment horizontal="center" vertical="center" wrapText="1"/>
    </xf>
    <xf numFmtId="0" fontId="0" fillId="0" borderId="3" xfId="0" applyBorder="1" applyAlignment="1">
      <alignment horizontal="center" vertical="center"/>
    </xf>
    <xf numFmtId="0" fontId="0" fillId="3" borderId="3" xfId="0" applyFill="1" applyBorder="1" applyAlignment="1">
      <alignment horizontal="center" vertical="center"/>
    </xf>
    <xf numFmtId="0" fontId="0" fillId="0" borderId="0" xfId="0" applyNumberFormat="1" applyAlignment="1">
      <alignment horizontal="center" vertical="center"/>
    </xf>
    <xf numFmtId="0" fontId="0" fillId="0" borderId="0" xfId="0" applyFill="1" applyAlignment="1">
      <alignment horizontal="center" vertical="center"/>
    </xf>
    <xf numFmtId="0" fontId="0" fillId="0" borderId="0" xfId="0" applyAlignment="1"/>
    <xf numFmtId="0" fontId="0" fillId="2" borderId="0" xfId="0" applyFill="1" applyAlignment="1">
      <alignment horizontal="center" vertical="center"/>
    </xf>
    <xf numFmtId="0" fontId="0" fillId="6" borderId="0" xfId="0" applyFill="1" applyAlignment="1">
      <alignment horizontal="center" vertical="center"/>
    </xf>
    <xf numFmtId="0" fontId="0" fillId="4" borderId="0" xfId="0" applyFill="1" applyAlignment="1">
      <alignment horizontal="center" vertical="center"/>
    </xf>
    <xf numFmtId="0" fontId="0" fillId="7" borderId="0" xfId="0" applyFill="1" applyAlignment="1">
      <alignment horizontal="center" vertical="center" wrapText="1"/>
    </xf>
    <xf numFmtId="0" fontId="0" fillId="8" borderId="0" xfId="0" applyFill="1" applyAlignment="1">
      <alignment horizontal="center" vertical="center" wrapText="1"/>
    </xf>
    <xf numFmtId="0" fontId="0" fillId="9" borderId="0" xfId="0" applyFill="1" applyAlignment="1">
      <alignment horizontal="center" vertical="center" wrapText="1"/>
    </xf>
    <xf numFmtId="0" fontId="0" fillId="10" borderId="0" xfId="0" applyFill="1"/>
    <xf numFmtId="0" fontId="0" fillId="10" borderId="0" xfId="0" applyFill="1" applyAlignment="1">
      <alignment horizontal="center" vertical="center" wrapText="1"/>
    </xf>
    <xf numFmtId="0" fontId="0" fillId="0" borderId="0" xfId="0" applyFill="1"/>
    <xf numFmtId="0" fontId="0" fillId="0" borderId="0" xfId="0" applyAlignment="1">
      <alignment horizontal="center" vertical="top" wrapText="1"/>
    </xf>
    <xf numFmtId="0" fontId="0" fillId="11" borderId="0" xfId="0" applyFill="1"/>
    <xf numFmtId="0" fontId="0" fillId="12" borderId="0" xfId="0" applyFill="1" applyAlignment="1">
      <alignment horizontal="center" vertical="center"/>
    </xf>
    <xf numFmtId="0" fontId="0" fillId="12" borderId="3" xfId="0" applyFill="1" applyBorder="1" applyAlignment="1">
      <alignment horizontal="center" vertical="center"/>
    </xf>
    <xf numFmtId="0" fontId="8" fillId="2" borderId="0" xfId="0" applyFont="1" applyFill="1" applyAlignment="1">
      <alignment horizontal="center" vertical="center"/>
    </xf>
    <xf numFmtId="0" fontId="8" fillId="6" borderId="0" xfId="0" applyFont="1" applyFill="1" applyAlignment="1">
      <alignment horizontal="center" vertical="center"/>
    </xf>
    <xf numFmtId="0" fontId="8" fillId="4" borderId="0" xfId="0" applyFont="1" applyFill="1" applyAlignment="1">
      <alignment horizontal="center" vertical="center"/>
    </xf>
    <xf numFmtId="0" fontId="8" fillId="12" borderId="0" xfId="0" applyFont="1" applyFill="1" applyAlignment="1">
      <alignment horizontal="center" vertical="center"/>
    </xf>
    <xf numFmtId="0" fontId="8" fillId="11" borderId="0" xfId="0" applyFont="1" applyFill="1" applyAlignment="1">
      <alignment horizontal="center" vertical="center"/>
    </xf>
    <xf numFmtId="0" fontId="8" fillId="0" borderId="0" xfId="0" applyFont="1" applyFill="1" applyAlignment="1">
      <alignment horizontal="center" vertical="center"/>
    </xf>
    <xf numFmtId="0" fontId="7" fillId="0" borderId="9" xfId="0" applyFont="1" applyBorder="1" applyAlignment="1">
      <alignment horizontal="center" vertical="center" wrapText="1"/>
    </xf>
    <xf numFmtId="0" fontId="7" fillId="0" borderId="3" xfId="0" applyFont="1" applyFill="1" applyBorder="1" applyAlignment="1">
      <alignment horizontal="center" vertical="center" wrapText="1"/>
    </xf>
    <xf numFmtId="3" fontId="6" fillId="0" borderId="3" xfId="0" applyNumberFormat="1" applyFont="1" applyFill="1" applyBorder="1" applyAlignment="1">
      <alignment horizontal="center" vertical="center" wrapText="1"/>
    </xf>
    <xf numFmtId="3" fontId="6" fillId="5" borderId="3" xfId="0" applyNumberFormat="1" applyFont="1" applyFill="1" applyBorder="1" applyAlignment="1">
      <alignment horizontal="center" vertical="center" wrapText="1"/>
    </xf>
    <xf numFmtId="3" fontId="6" fillId="0" borderId="9" xfId="0" applyNumberFormat="1" applyFont="1" applyFill="1" applyBorder="1" applyAlignment="1">
      <alignment horizontal="center" vertical="center" wrapText="1"/>
    </xf>
    <xf numFmtId="3" fontId="0" fillId="0" borderId="3" xfId="0" applyNumberFormat="1" applyBorder="1" applyAlignment="1">
      <alignment horizontal="center" vertical="center"/>
    </xf>
    <xf numFmtId="3" fontId="0" fillId="5" borderId="3" xfId="0" applyNumberFormat="1" applyFill="1" applyBorder="1" applyAlignment="1">
      <alignment horizontal="center" vertical="center" wrapText="1"/>
    </xf>
    <xf numFmtId="3" fontId="0" fillId="0" borderId="9" xfId="0" applyNumberFormat="1" applyFill="1" applyBorder="1" applyAlignment="1">
      <alignment horizontal="center" vertical="center" wrapText="1"/>
    </xf>
    <xf numFmtId="3" fontId="0" fillId="0" borderId="3" xfId="0" applyNumberFormat="1" applyFill="1" applyBorder="1" applyAlignment="1">
      <alignment horizontal="center" vertical="center" wrapText="1"/>
    </xf>
    <xf numFmtId="165" fontId="6" fillId="5" borderId="3" xfId="0" applyNumberFormat="1" applyFont="1" applyFill="1" applyBorder="1" applyAlignment="1">
      <alignment horizontal="center" vertical="center" wrapText="1"/>
    </xf>
    <xf numFmtId="165" fontId="0" fillId="5" borderId="3" xfId="0" applyNumberFormat="1" applyFill="1" applyBorder="1" applyAlignment="1">
      <alignment horizontal="center" vertical="center"/>
    </xf>
    <xf numFmtId="0" fontId="0" fillId="2" borderId="3" xfId="0" applyFill="1" applyBorder="1" applyAlignment="1">
      <alignment horizontal="center" vertical="center"/>
    </xf>
    <xf numFmtId="0" fontId="0" fillId="5" borderId="3" xfId="0" applyFill="1" applyBorder="1" applyAlignment="1">
      <alignment horizontal="center" vertical="center"/>
    </xf>
    <xf numFmtId="165" fontId="6" fillId="2" borderId="3" xfId="0" applyNumberFormat="1" applyFont="1" applyFill="1" applyBorder="1" applyAlignment="1">
      <alignment horizontal="center" vertical="center" wrapText="1"/>
    </xf>
    <xf numFmtId="165" fontId="0" fillId="2" borderId="3" xfId="0" applyNumberFormat="1" applyFill="1" applyBorder="1" applyAlignment="1">
      <alignment horizontal="center" vertical="center"/>
    </xf>
    <xf numFmtId="165" fontId="0" fillId="13" borderId="3" xfId="0" applyNumberFormat="1" applyFill="1" applyBorder="1" applyAlignment="1">
      <alignment horizontal="center" vertical="center"/>
    </xf>
    <xf numFmtId="0" fontId="0" fillId="0" borderId="14" xfId="0" applyFill="1" applyBorder="1" applyAlignment="1">
      <alignment horizontal="center" vertical="center"/>
    </xf>
    <xf numFmtId="0" fontId="0" fillId="2" borderId="3" xfId="0" applyFill="1" applyBorder="1"/>
    <xf numFmtId="49" fontId="0" fillId="2" borderId="14" xfId="0" applyNumberFormat="1" applyFill="1" applyBorder="1"/>
    <xf numFmtId="49" fontId="0" fillId="0" borderId="14" xfId="0" applyNumberFormat="1" applyBorder="1" applyAlignment="1">
      <alignment horizontal="center" vertical="center"/>
    </xf>
    <xf numFmtId="49" fontId="0" fillId="0" borderId="13" xfId="0" applyNumberFormat="1" applyBorder="1" applyAlignment="1">
      <alignment horizontal="center" vertical="center"/>
    </xf>
    <xf numFmtId="49" fontId="0" fillId="2" borderId="14" xfId="0" applyNumberFormat="1" applyFill="1" applyBorder="1" applyAlignment="1">
      <alignment horizontal="center" vertical="center"/>
    </xf>
    <xf numFmtId="0" fontId="0" fillId="11" borderId="0" xfId="0" applyFill="1" applyAlignment="1">
      <alignment horizontal="center" vertical="center"/>
    </xf>
    <xf numFmtId="49" fontId="0" fillId="0" borderId="12" xfId="0" applyNumberFormat="1" applyBorder="1" applyAlignment="1">
      <alignment horizontal="center" vertical="center"/>
    </xf>
    <xf numFmtId="49" fontId="0" fillId="0" borderId="11" xfId="0" applyNumberFormat="1" applyBorder="1" applyAlignment="1">
      <alignment horizontal="center" vertical="center"/>
    </xf>
    <xf numFmtId="49" fontId="0" fillId="0" borderId="10" xfId="0" applyNumberFormat="1" applyBorder="1" applyAlignment="1">
      <alignment horizontal="center" vertical="center"/>
    </xf>
    <xf numFmtId="0" fontId="10" fillId="12" borderId="3" xfId="1" applyFont="1" applyFill="1" applyBorder="1" applyAlignment="1">
      <alignment horizontal="center" vertical="center"/>
    </xf>
    <xf numFmtId="0" fontId="0" fillId="14" borderId="0" xfId="0" applyFill="1" applyAlignment="1">
      <alignment horizontal="center" vertical="center" wrapText="1"/>
    </xf>
    <xf numFmtId="0" fontId="0" fillId="15" borderId="3" xfId="0" applyFill="1" applyBorder="1" applyAlignment="1">
      <alignment horizontal="center" vertical="center"/>
    </xf>
    <xf numFmtId="49" fontId="0" fillId="0" borderId="3" xfId="0" applyNumberFormat="1" applyBorder="1" applyAlignment="1">
      <alignment horizontal="center" vertical="center" wrapText="1"/>
    </xf>
    <xf numFmtId="49" fontId="0" fillId="0" borderId="3" xfId="0" applyNumberFormat="1" applyBorder="1" applyAlignment="1">
      <alignment horizontal="center" vertical="center"/>
    </xf>
    <xf numFmtId="0" fontId="0" fillId="6" borderId="3" xfId="0" applyFill="1" applyBorder="1"/>
  </cellXfs>
  <cellStyles count="2">
    <cellStyle name="Hyperlink" xfId="1" builtinId="8"/>
    <cellStyle name="Normal" xfId="0" builtinId="0"/>
  </cellStyles>
  <dxfs count="66">
    <dxf>
      <font>
        <color rgb="FFFFCCCC"/>
      </font>
    </dxf>
    <dxf>
      <font>
        <color rgb="FFFFCCCC"/>
      </font>
    </dxf>
    <dxf>
      <font>
        <color rgb="FFFFCCCC"/>
      </font>
    </dxf>
    <dxf>
      <font>
        <color rgb="FFFFCCCC"/>
      </font>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7" tint="0.39997558519241921"/>
        </patternFill>
      </fill>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font>
        <strike val="0"/>
        <outline val="0"/>
        <shadow val="0"/>
        <u val="none"/>
        <vertAlign val="baseline"/>
        <sz val="11"/>
        <color auto="1"/>
        <name val="Calibri"/>
        <family val="2"/>
        <scheme val="minor"/>
      </font>
      <alignment horizontal="center" vertical="center"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CABB4F-88A0-4B2A-AB64-68BDDD3B9E9E}" name="Table1" displayName="Table1" ref="A11:B16" totalsRowCount="1" headerRowDxfId="65" dataDxfId="64" totalsRowDxfId="63">
  <autoFilter ref="A11:B15" xr:uid="{438C1829-A8C8-4692-8B74-066A2061137F}"/>
  <tableColumns count="2">
    <tableColumn id="1" xr3:uid="{20A9D7EA-1A9C-4566-A215-C9A42775F49A}" name="Neuron Super-Family Parameters" totalsRowLabel="Total" dataDxfId="62" totalsRowDxfId="61"/>
    <tableColumn id="2" xr3:uid="{5D4655F9-A5A1-406A-A335-8A7A7F8ED25C}" name="# of Parameter PDFs" totalsRowFunction="sum" dataDxfId="60" totalsRowDxfId="59">
      <calculatedColumnFormula>COUNTIF(pop_size_neuron_type!B2:B10,"&lt;&gt;0")</calculatedColumnFormula>
    </tableColumn>
  </tableColumns>
  <tableStyleInfo name="TableStyleLight2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30465E1-2A3D-41EF-B6E1-D7D451006642}" name="Table2" displayName="Table2" ref="E11:F24" totalsRowCount="1" headerRowDxfId="58" dataDxfId="57" totalsRowDxfId="56">
  <autoFilter ref="E11:F23" xr:uid="{56022AD8-CCF9-47EC-A679-C8D2F93E1DD5}">
    <filterColumn colId="0">
      <customFilters>
        <customFilter operator="notEqual" val=" "/>
      </customFilters>
    </filterColumn>
  </autoFilter>
  <tableColumns count="2">
    <tableColumn id="1" xr3:uid="{81AD59E1-BFC9-4DA0-8DE5-CDE74E853BAB}" name="Synaptic Super-Family Parameters" totalsRowLabel="Total" dataDxfId="55" totalsRowDxfId="54"/>
    <tableColumn id="2" xr3:uid="{A2B3A141-B3C5-4E36-96C3-B8F4A4A67F2A}" name="# of Parameter PDFs" totalsRowFunction="sum" dataDxfId="53" totalsRowDxfId="52"/>
  </tableColumns>
  <tableStyleInfo name="TableStyleLight1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4479B84-6E7B-4CD2-8333-5F325A519EDC}" name="Table4" displayName="Table4" ref="A35:B52" totalsRowCount="1" headerRowDxfId="51" dataDxfId="50" totalsRowDxfId="49">
  <autoFilter ref="A35:B51" xr:uid="{47A4B18D-CD9D-42A2-BDA1-564D9872BFF7}">
    <filterColumn colId="0">
      <customFilters>
        <customFilter operator="notEqual" val=" "/>
      </customFilters>
    </filterColumn>
  </autoFilter>
  <tableColumns count="2">
    <tableColumn id="1" xr3:uid="{96D7F942-B50A-48C8-9149-16C723018CE2}" name="CA3 SNN Parameters" totalsRowLabel="Total" dataDxfId="48" totalsRowDxfId="47"/>
    <tableColumn id="2" xr3:uid="{5E9EA9C0-39AC-4A7B-BD2B-2055AAFE620A}" name="# of Parameter PDFs" totalsRowFunction="sum" dataDxfId="46" totalsRowDxfId="4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633CA4-CDC5-48CE-A0F7-199AF9986613}" name="Table16" displayName="Table16" ref="A62:B67" totalsRowCount="1" headerRowDxfId="44" dataDxfId="43" totalsRowDxfId="42">
  <autoFilter ref="A62:B66" xr:uid="{F0F7C5CC-0040-4D0F-8F8B-39B0551AE9D3}"/>
  <tableColumns count="2">
    <tableColumn id="1" xr3:uid="{B32A2FC9-F850-485A-9504-EC10B9C7683E}" name="Neuron Super-Family Parameters" totalsRowLabel="Total" dataDxfId="41" totalsRowDxfId="40"/>
    <tableColumn id="2" xr3:uid="{854C8F80-B30E-40A2-8609-EC7ED1DCEF79}" name="# of Parameter PDFs" totalsRowFunction="sum" dataDxfId="39" totalsRowDxfId="38"/>
  </tableColumns>
  <tableStyleInfo name="TableStyleLight2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52A26F4-2680-4B74-BA76-468F1269565E}" name="Table27" displayName="Table27" ref="E62:F75" totalsRowCount="1" headerRowDxfId="37" dataDxfId="36" totalsRowDxfId="35">
  <autoFilter ref="E62:F74" xr:uid="{7B0B3AEF-E7F1-4E5C-989F-E905E49427B5}">
    <filterColumn colId="0">
      <customFilters>
        <customFilter operator="notEqual" val=" "/>
      </customFilters>
    </filterColumn>
  </autoFilter>
  <tableColumns count="2">
    <tableColumn id="1" xr3:uid="{45BD2957-89A6-4169-BCFC-47D48B54A4A1}" name="Synaptic Super-Family Parameters" totalsRowLabel="Total" dataDxfId="34" totalsRowDxfId="33"/>
    <tableColumn id="2" xr3:uid="{EB9DDA82-978C-4820-A82C-837E0FE3AC20}" name="# of Parameter PDFs" totalsRowFunction="sum" dataDxfId="32" totalsRowDxfId="31"/>
  </tableColumns>
  <tableStyleInfo name="TableStyleLight1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E5E2992-543A-4097-8F1E-F656102E0794}" name="Table48" displayName="Table48" ref="A86:G103" totalsRowCount="1" headerRowDxfId="30" dataDxfId="29" totalsRowDxfId="28">
  <autoFilter ref="A86:G102" xr:uid="{F8396B19-DC6F-43F6-A9DC-6EA897E07AA4}">
    <filterColumn colId="0">
      <customFilters>
        <customFilter operator="notEqual" val=" "/>
      </customFilters>
    </filterColumn>
  </autoFilter>
  <tableColumns count="7">
    <tableColumn id="1" xr3:uid="{805FB7D2-DA67-49C5-945F-C3E16073DE42}" name="CA3 SNN Parameters" totalsRowLabel="Total" dataDxfId="27" totalsRowDxfId="26"/>
    <tableColumn id="2" xr3:uid="{1AC70C1C-9BFA-48DF-A65F-83403770A834}" name="# of Parameter PDFs" totalsRowFunction="sum" dataDxfId="25" totalsRowDxfId="24"/>
    <tableColumn id="3" xr3:uid="{230A1D07-B8AA-4415-991F-21DE2CB8CC53}" name="Estimate Level 1" totalsRowFunction="sum" dataDxfId="23" totalsRowDxfId="22">
      <calculatedColumnFormula>(#REF!)</calculatedColumnFormula>
    </tableColumn>
    <tableColumn id="4" xr3:uid="{D0771581-1796-45F6-A26C-FB3D15834677}" name="Estimate Level 2" totalsRowFunction="sum" dataDxfId="21" totalsRowDxfId="20">
      <calculatedColumnFormula>(pop_size_neuron_type!B12)</calculatedColumnFormula>
    </tableColumn>
    <tableColumn id="5" xr3:uid="{25489370-ACC8-467D-9873-E4FDA095E686}" name="Estimate Level 3" totalsRowFunction="sum" dataDxfId="19" totalsRowDxfId="18">
      <calculatedColumnFormula>(pop_size_neuron_type!B13)</calculatedColumnFormula>
    </tableColumn>
    <tableColumn id="6" xr3:uid="{51C48578-68F9-4020-917D-ED764B3B81AD}" name="Estimate Level 4" totalsRowFunction="sum" dataDxfId="17" totalsRowDxfId="16">
      <calculatedColumnFormula>(pop_size_neuron_type!B14)</calculatedColumnFormula>
    </tableColumn>
    <tableColumn id="7" xr3:uid="{96D8037C-3489-48A2-9656-BE274BDE1D63}" name="Estimate Level 5" totalsRowFunction="sum" dataDxfId="15" totalsRowDxfId="14">
      <calculatedColumnFormula>(pop_size_neuron_type!B15)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5AB68B2-D3D1-462D-A648-FEE8CEBF1FBA}" name="Table22" displayName="Table22" ref="A1:D21" headerRowDxfId="13" dataDxfId="12">
  <autoFilter ref="A1:D21" xr:uid="{2D571397-DE6E-495A-B642-1BBD07B945CB}"/>
  <tableColumns count="4">
    <tableColumn id="1" xr3:uid="{4F0B135F-F2E3-452C-A2A6-F057AF42DF2B}" name="Default Parameter List" totalsRowLabel="Total" dataDxfId="11" totalsRowDxfId="10"/>
    <tableColumn id="2" xr3:uid="{A4D63A67-3DF3-48DE-9349-B77DD7C3813D}" name="Count of Default Parameter Type" dataDxfId="9" totalsRowDxfId="8"/>
    <tableColumn id="3" xr3:uid="{1DF8BEC8-FDE0-4929-BAF5-C32C43656EE8}" name="Parameter value" dataDxfId="7" totalsRowDxfId="6"/>
    <tableColumn id="4" xr3:uid="{4194B166-D169-4766-A97A-F7B3CADAD36E}" name="Related Notes on Parameter" totalsRowFunction="count" dataDxfId="5" totalsRowDxfId="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90045-373A-41D6-871B-9868E916B422}">
  <dimension ref="A1:A3"/>
  <sheetViews>
    <sheetView workbookViewId="0"/>
  </sheetViews>
  <sheetFormatPr defaultColWidth="8.85546875" defaultRowHeight="15" x14ac:dyDescent="0.25"/>
  <cols>
    <col min="1" max="1" width="132.85546875" customWidth="1"/>
  </cols>
  <sheetData>
    <row r="1" spans="1:1" x14ac:dyDescent="0.25">
      <c r="A1" s="15" t="s">
        <v>156</v>
      </c>
    </row>
    <row r="2" spans="1:1" ht="105" x14ac:dyDescent="0.25">
      <c r="A2" s="38" t="s">
        <v>334</v>
      </c>
    </row>
    <row r="3" spans="1:1" x14ac:dyDescent="0.25">
      <c r="A3" s="15"/>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E0DDA7-C00A-422B-B24D-120C38B9319C}">
  <sheetPr codeName="Sheet1"/>
  <dimension ref="A1:H103"/>
  <sheetViews>
    <sheetView tabSelected="1" zoomScale="92" zoomScaleNormal="100" workbookViewId="0"/>
  </sheetViews>
  <sheetFormatPr defaultColWidth="8.85546875" defaultRowHeight="15" x14ac:dyDescent="0.25"/>
  <cols>
    <col min="1" max="1" width="40" customWidth="1"/>
    <col min="2" max="2" width="26" customWidth="1"/>
    <col min="3" max="3" width="22.7109375" customWidth="1"/>
    <col min="4" max="4" width="33.85546875" customWidth="1"/>
    <col min="5" max="5" width="36.140625" customWidth="1"/>
    <col min="6" max="6" width="25.28515625" customWidth="1"/>
    <col min="7" max="7" width="22" customWidth="1"/>
    <col min="8" max="8" width="102" customWidth="1"/>
  </cols>
  <sheetData>
    <row r="1" spans="1:8" x14ac:dyDescent="0.25">
      <c r="A1" s="15" t="s">
        <v>0</v>
      </c>
      <c r="B1" s="8" t="s">
        <v>97</v>
      </c>
      <c r="C1" s="8" t="s">
        <v>98</v>
      </c>
      <c r="D1" s="8" t="s">
        <v>183</v>
      </c>
      <c r="H1" s="15"/>
    </row>
    <row r="2" spans="1:8" ht="73.5" customHeight="1" x14ac:dyDescent="0.25">
      <c r="A2" s="29"/>
      <c r="B2" s="15" t="s">
        <v>1</v>
      </c>
      <c r="C2" s="8">
        <f>SUM(pop_size_neuron_type!B11, IM_parameters_by_neuron_type!B10, syn_conn_prob!B10, syn_conds!B10, syn_resource_release!B10, syn_rec_const!B10, syn_decay_const!B10, syn_facil_const!B10)</f>
        <v>344</v>
      </c>
      <c r="D2" s="15" t="s">
        <v>185</v>
      </c>
      <c r="E2" s="27"/>
      <c r="F2" s="27"/>
      <c r="G2" t="s">
        <v>77</v>
      </c>
    </row>
    <row r="3" spans="1:8" ht="124.5" customHeight="1" x14ac:dyDescent="0.25">
      <c r="A3" s="31"/>
      <c r="B3" s="15" t="s">
        <v>173</v>
      </c>
      <c r="C3" s="8">
        <f>SUM(pop_size_neuron_type!B12, IM_parameters_by_neuron_type!B11, syn_conn_prob!B11, syn_conds!B11, syn_resource_release!B11, syn_rec_const!B11, syn_decay_const!B11, syn_facil_const!B11)</f>
        <v>0</v>
      </c>
      <c r="D3" s="15" t="s">
        <v>336</v>
      </c>
      <c r="E3" s="27"/>
      <c r="F3" s="27"/>
    </row>
    <row r="4" spans="1:8" ht="60" x14ac:dyDescent="0.25">
      <c r="A4" s="30"/>
      <c r="B4" s="15" t="s">
        <v>2</v>
      </c>
      <c r="C4" s="8">
        <f>SUM(pop_size_neuron_type!B13, IM_parameters_by_neuron_type!B12, syn_conn_prob!B12, syn_conds!B12, syn_resource_release!B12, syn_rec_const!B12, syn_decay_const!B12, syn_facil_const!B12)</f>
        <v>27</v>
      </c>
      <c r="D4" s="15" t="s">
        <v>184</v>
      </c>
      <c r="E4" s="27"/>
      <c r="F4" s="27"/>
    </row>
    <row r="5" spans="1:8" ht="130.5" customHeight="1" x14ac:dyDescent="0.25">
      <c r="A5" s="40"/>
      <c r="B5" s="15" t="s">
        <v>3</v>
      </c>
      <c r="C5" s="8">
        <f>SUM(pop_size_neuron_type!B14, IM_parameters_by_neuron_type!B13, syn_conn_prob!B13, syn_conds!B13, syn_resource_release!B13, syn_rec_const!B13, syn_decay_const!B13, syn_facil_const!B13)</f>
        <v>342</v>
      </c>
      <c r="D5" s="15" t="s">
        <v>186</v>
      </c>
      <c r="E5" s="27"/>
      <c r="F5" s="27"/>
    </row>
    <row r="6" spans="1:8" ht="148.5" customHeight="1" x14ac:dyDescent="0.25">
      <c r="A6" s="39"/>
      <c r="B6" s="15" t="s">
        <v>4</v>
      </c>
      <c r="C6" s="8">
        <f>SUM(pop_size_neuron_type!B15, IM_parameters_by_neuron_type!B14, syn_conn_prob!B14, syn_conds!B14, syn_resource_release!B14, syn_rec_const!B14, syn_decay_const!B14, syn_facil_const!B14)</f>
        <v>0</v>
      </c>
      <c r="D6" s="15" t="s">
        <v>335</v>
      </c>
      <c r="E6" s="37"/>
      <c r="F6" s="37"/>
    </row>
    <row r="7" spans="1:8" x14ac:dyDescent="0.25">
      <c r="C7" s="8">
        <f>SUM(C2:C6)</f>
        <v>713</v>
      </c>
    </row>
    <row r="9" spans="1:8" x14ac:dyDescent="0.25">
      <c r="A9" s="28" t="s">
        <v>5</v>
      </c>
    </row>
    <row r="11" spans="1:8" x14ac:dyDescent="0.25">
      <c r="A11" s="8" t="s">
        <v>6</v>
      </c>
      <c r="B11" s="8" t="s">
        <v>7</v>
      </c>
      <c r="E11" s="8" t="s">
        <v>8</v>
      </c>
      <c r="F11" s="8" t="s">
        <v>7</v>
      </c>
    </row>
    <row r="12" spans="1:8" ht="30" x14ac:dyDescent="0.25">
      <c r="A12" s="15" t="s">
        <v>9</v>
      </c>
      <c r="B12" s="8">
        <f>SUM(pop_size_neuron_type!$B$11:$B$15)</f>
        <v>8</v>
      </c>
      <c r="E12" s="15" t="s">
        <v>10</v>
      </c>
      <c r="F12" s="15">
        <f>SUM(syn_conn_prob!$B$10:$B$14)</f>
        <v>51</v>
      </c>
    </row>
    <row r="13" spans="1:8" hidden="1" x14ac:dyDescent="0.25">
      <c r="A13" s="15"/>
      <c r="B13" s="26"/>
      <c r="E13" s="15"/>
      <c r="F13" s="15"/>
    </row>
    <row r="14" spans="1:8" ht="30" x14ac:dyDescent="0.25">
      <c r="A14" s="15" t="s">
        <v>12</v>
      </c>
      <c r="B14" s="8">
        <f>SUM(IM_parameters_by_neuron_type!$B$10:$B$14)/2</f>
        <v>72</v>
      </c>
      <c r="E14" s="15" t="s">
        <v>13</v>
      </c>
      <c r="F14" s="15">
        <f>SUM(syn_conds!$B$10:$B$14)/2</f>
        <v>51</v>
      </c>
    </row>
    <row r="15" spans="1:8" hidden="1" x14ac:dyDescent="0.25">
      <c r="A15" s="15"/>
      <c r="B15" s="26"/>
      <c r="E15" s="15"/>
      <c r="F15" s="15"/>
    </row>
    <row r="16" spans="1:8" x14ac:dyDescent="0.25">
      <c r="A16" s="8" t="s">
        <v>14</v>
      </c>
      <c r="B16" s="8">
        <f>SUBTOTAL(109,Table1['# of Parameter PDFs])</f>
        <v>80</v>
      </c>
      <c r="E16" s="15" t="s">
        <v>15</v>
      </c>
      <c r="F16" s="15">
        <f>SUM(syn_resource_release!$B$10:$B$14)/2</f>
        <v>51</v>
      </c>
    </row>
    <row r="17" spans="5:6" hidden="1" x14ac:dyDescent="0.25">
      <c r="E17" s="15"/>
      <c r="F17" s="15"/>
    </row>
    <row r="18" spans="5:6" ht="30" x14ac:dyDescent="0.25">
      <c r="E18" s="15" t="s">
        <v>16</v>
      </c>
      <c r="F18" s="15">
        <f>SUM(syn_rec_const!$B$10:$B$14)/2</f>
        <v>51</v>
      </c>
    </row>
    <row r="19" spans="5:6" hidden="1" x14ac:dyDescent="0.25">
      <c r="E19" s="15"/>
      <c r="F19" s="15"/>
    </row>
    <row r="20" spans="5:6" ht="30" x14ac:dyDescent="0.25">
      <c r="E20" s="15" t="s">
        <v>17</v>
      </c>
      <c r="F20" s="15">
        <f>SUM(syn_decay_const!$B$10:$B$14)/2</f>
        <v>51</v>
      </c>
    </row>
    <row r="21" spans="5:6" hidden="1" x14ac:dyDescent="0.25">
      <c r="E21" s="15"/>
      <c r="F21" s="15"/>
    </row>
    <row r="22" spans="5:6" ht="30" x14ac:dyDescent="0.25">
      <c r="E22" s="15" t="s">
        <v>18</v>
      </c>
      <c r="F22" s="15">
        <f>SUM(syn_facil_const!$B$10:$B$14)/2</f>
        <v>51</v>
      </c>
    </row>
    <row r="23" spans="5:6" hidden="1" x14ac:dyDescent="0.25">
      <c r="E23" s="15"/>
      <c r="F23" s="15"/>
    </row>
    <row r="24" spans="5:6" x14ac:dyDescent="0.25">
      <c r="E24" s="8" t="s">
        <v>14</v>
      </c>
      <c r="F24" s="8">
        <f>SUBTOTAL(109,Table2['# of Parameter PDFs])</f>
        <v>306</v>
      </c>
    </row>
    <row r="35" spans="1:2" x14ac:dyDescent="0.25">
      <c r="A35" s="8" t="s">
        <v>19</v>
      </c>
      <c r="B35" s="8" t="s">
        <v>7</v>
      </c>
    </row>
    <row r="36" spans="1:2" x14ac:dyDescent="0.25">
      <c r="A36" s="15" t="s">
        <v>9</v>
      </c>
      <c r="B36" s="8">
        <f>B12</f>
        <v>8</v>
      </c>
    </row>
    <row r="37" spans="1:2" hidden="1" x14ac:dyDescent="0.25">
      <c r="A37" s="15"/>
      <c r="B37" s="26"/>
    </row>
    <row r="38" spans="1:2" ht="30" x14ac:dyDescent="0.25">
      <c r="A38" s="15" t="s">
        <v>152</v>
      </c>
      <c r="B38" s="8">
        <f>B14</f>
        <v>72</v>
      </c>
    </row>
    <row r="39" spans="1:2" hidden="1" x14ac:dyDescent="0.25">
      <c r="A39" s="15"/>
      <c r="B39" s="8"/>
    </row>
    <row r="40" spans="1:2" ht="30" x14ac:dyDescent="0.25">
      <c r="A40" s="15" t="s">
        <v>10</v>
      </c>
      <c r="B40" s="15">
        <f>F12</f>
        <v>51</v>
      </c>
    </row>
    <row r="41" spans="1:2" hidden="1" x14ac:dyDescent="0.25">
      <c r="A41" s="15"/>
      <c r="B41" s="15"/>
    </row>
    <row r="42" spans="1:2" ht="30" x14ac:dyDescent="0.25">
      <c r="A42" s="15" t="s">
        <v>13</v>
      </c>
      <c r="B42" s="15">
        <f t="shared" ref="B42:B50" si="0">F14</f>
        <v>51</v>
      </c>
    </row>
    <row r="43" spans="1:2" hidden="1" x14ac:dyDescent="0.25">
      <c r="A43" s="15"/>
      <c r="B43" s="15"/>
    </row>
    <row r="44" spans="1:2" x14ac:dyDescent="0.25">
      <c r="A44" s="15" t="s">
        <v>15</v>
      </c>
      <c r="B44" s="15">
        <f t="shared" si="0"/>
        <v>51</v>
      </c>
    </row>
    <row r="45" spans="1:2" hidden="1" x14ac:dyDescent="0.25">
      <c r="A45" s="15"/>
      <c r="B45" s="15"/>
    </row>
    <row r="46" spans="1:2" ht="30" x14ac:dyDescent="0.25">
      <c r="A46" s="15" t="s">
        <v>16</v>
      </c>
      <c r="B46" s="15">
        <f t="shared" si="0"/>
        <v>51</v>
      </c>
    </row>
    <row r="47" spans="1:2" hidden="1" x14ac:dyDescent="0.25">
      <c r="A47" s="15"/>
      <c r="B47" s="15"/>
    </row>
    <row r="48" spans="1:2" ht="30" x14ac:dyDescent="0.25">
      <c r="A48" s="15" t="s">
        <v>17</v>
      </c>
      <c r="B48" s="15">
        <f t="shared" si="0"/>
        <v>51</v>
      </c>
    </row>
    <row r="49" spans="1:6" hidden="1" x14ac:dyDescent="0.25">
      <c r="A49" s="15"/>
      <c r="B49" s="15"/>
    </row>
    <row r="50" spans="1:6" ht="30" x14ac:dyDescent="0.25">
      <c r="A50" s="15" t="s">
        <v>18</v>
      </c>
      <c r="B50" s="15">
        <f t="shared" si="0"/>
        <v>51</v>
      </c>
    </row>
    <row r="51" spans="1:6" hidden="1" x14ac:dyDescent="0.25">
      <c r="A51" s="15"/>
      <c r="B51" s="15"/>
    </row>
    <row r="52" spans="1:6" x14ac:dyDescent="0.25">
      <c r="A52" s="8" t="s">
        <v>14</v>
      </c>
      <c r="B52" s="8">
        <f>SUBTOTAL(109,Table4['# of Parameter PDFs])</f>
        <v>386</v>
      </c>
    </row>
    <row r="60" spans="1:6" x14ac:dyDescent="0.25">
      <c r="A60" t="s">
        <v>20</v>
      </c>
    </row>
    <row r="62" spans="1:6" x14ac:dyDescent="0.25">
      <c r="A62" s="15" t="s">
        <v>6</v>
      </c>
      <c r="B62" s="15" t="s">
        <v>7</v>
      </c>
      <c r="E62" s="15" t="s">
        <v>8</v>
      </c>
      <c r="F62" s="15" t="s">
        <v>7</v>
      </c>
    </row>
    <row r="63" spans="1:6" ht="30" x14ac:dyDescent="0.25">
      <c r="A63" s="15" t="s">
        <v>9</v>
      </c>
      <c r="B63" s="8">
        <f>SUM(pop_size_neuron_type!$B$11:$B$15)</f>
        <v>8</v>
      </c>
      <c r="E63" s="15" t="s">
        <v>10</v>
      </c>
      <c r="F63" s="15">
        <f>SUM(syn_conn_prob!$B$10:$B$14)</f>
        <v>51</v>
      </c>
    </row>
    <row r="64" spans="1:6" hidden="1" x14ac:dyDescent="0.25">
      <c r="A64" s="15" t="s">
        <v>11</v>
      </c>
      <c r="B64" s="26" t="e">
        <f>SUM(#REF!)</f>
        <v>#REF!</v>
      </c>
      <c r="E64" s="15"/>
      <c r="F64" s="15"/>
    </row>
    <row r="65" spans="1:6" ht="30" x14ac:dyDescent="0.25">
      <c r="A65" s="15" t="s">
        <v>152</v>
      </c>
      <c r="B65" s="8">
        <f>SUM(IM_parameters_by_neuron_type!$B$10:$B$14)</f>
        <v>144</v>
      </c>
      <c r="E65" s="15" t="s">
        <v>13</v>
      </c>
      <c r="F65" s="15">
        <f>SUM(syn_conds!$B$10:$B$14)</f>
        <v>102</v>
      </c>
    </row>
    <row r="66" spans="1:6" hidden="1" x14ac:dyDescent="0.25">
      <c r="A66" s="15" t="s">
        <v>151</v>
      </c>
      <c r="B66" s="26" t="e">
        <f>SUM(#REF!)</f>
        <v>#REF!</v>
      </c>
      <c r="E66" s="15"/>
      <c r="F66" s="15"/>
    </row>
    <row r="67" spans="1:6" x14ac:dyDescent="0.25">
      <c r="A67" s="15" t="s">
        <v>14</v>
      </c>
      <c r="B67" s="15">
        <f>SUBTOTAL(109,Table16['# of Parameter PDFs])</f>
        <v>152</v>
      </c>
      <c r="E67" s="15" t="s">
        <v>15</v>
      </c>
      <c r="F67" s="15">
        <f>SUM(syn_resource_release!$B$10:$B$14)</f>
        <v>102</v>
      </c>
    </row>
    <row r="68" spans="1:6" hidden="1" x14ac:dyDescent="0.25">
      <c r="E68" s="15"/>
      <c r="F68" s="15"/>
    </row>
    <row r="69" spans="1:6" ht="30" x14ac:dyDescent="0.25">
      <c r="E69" s="15" t="s">
        <v>16</v>
      </c>
      <c r="F69" s="15">
        <f>SUM(syn_rec_const!$B$10:$B$14)</f>
        <v>102</v>
      </c>
    </row>
    <row r="70" spans="1:6" hidden="1" x14ac:dyDescent="0.25">
      <c r="E70" s="15"/>
      <c r="F70" s="15"/>
    </row>
    <row r="71" spans="1:6" ht="30" x14ac:dyDescent="0.25">
      <c r="E71" s="15" t="s">
        <v>17</v>
      </c>
      <c r="F71" s="15">
        <f>SUM(syn_decay_const!$B$10:$B$14)</f>
        <v>102</v>
      </c>
    </row>
    <row r="72" spans="1:6" hidden="1" x14ac:dyDescent="0.25">
      <c r="E72" s="15"/>
      <c r="F72" s="15"/>
    </row>
    <row r="73" spans="1:6" ht="30" x14ac:dyDescent="0.25">
      <c r="E73" s="15" t="s">
        <v>18</v>
      </c>
      <c r="F73" s="15">
        <f>SUM(syn_facil_const!$B$10:$B$14)</f>
        <v>102</v>
      </c>
    </row>
    <row r="74" spans="1:6" hidden="1" x14ac:dyDescent="0.25">
      <c r="E74" s="15"/>
      <c r="F74" s="15"/>
    </row>
    <row r="75" spans="1:6" x14ac:dyDescent="0.25">
      <c r="E75" s="15" t="s">
        <v>14</v>
      </c>
      <c r="F75" s="15">
        <f>SUBTOTAL(109,Table27['# of Parameter PDFs])</f>
        <v>561</v>
      </c>
    </row>
    <row r="86" spans="1:7" x14ac:dyDescent="0.25">
      <c r="A86" s="47" t="s">
        <v>19</v>
      </c>
      <c r="B86" s="47" t="s">
        <v>7</v>
      </c>
      <c r="C86" s="42" t="s">
        <v>174</v>
      </c>
      <c r="D86" s="44" t="s">
        <v>175</v>
      </c>
      <c r="E86" s="43" t="s">
        <v>176</v>
      </c>
      <c r="F86" s="45" t="s">
        <v>177</v>
      </c>
      <c r="G86" s="46" t="s">
        <v>178</v>
      </c>
    </row>
    <row r="87" spans="1:7" x14ac:dyDescent="0.25">
      <c r="A87" s="15" t="s">
        <v>9</v>
      </c>
      <c r="B87" s="8">
        <f>B63</f>
        <v>8</v>
      </c>
      <c r="C87" s="8">
        <f>(pop_size_neuron_type!B11)</f>
        <v>8</v>
      </c>
      <c r="D87" s="8">
        <f>(pop_size_neuron_type!B12)</f>
        <v>0</v>
      </c>
      <c r="E87" s="8">
        <f>(pop_size_neuron_type!B13)</f>
        <v>0</v>
      </c>
      <c r="F87" s="8">
        <f>(pop_size_neuron_type!B14)</f>
        <v>0</v>
      </c>
      <c r="G87" s="8">
        <f>(pop_size_neuron_type!B15)</f>
        <v>0</v>
      </c>
    </row>
    <row r="88" spans="1:7" hidden="1" x14ac:dyDescent="0.25">
      <c r="A88" s="15"/>
      <c r="B88" s="8"/>
      <c r="C88" s="8"/>
      <c r="D88" s="8"/>
      <c r="E88" s="8"/>
      <c r="F88" s="8"/>
      <c r="G88" s="8"/>
    </row>
    <row r="89" spans="1:7" ht="30" x14ac:dyDescent="0.25">
      <c r="A89" s="15" t="s">
        <v>152</v>
      </c>
      <c r="B89" s="8">
        <f>B65</f>
        <v>144</v>
      </c>
      <c r="C89" s="8">
        <f>(IM_parameters_by_neuron_type!B10)</f>
        <v>45</v>
      </c>
      <c r="D89" s="8">
        <f>(IM_parameters_by_neuron_type!B11)</f>
        <v>0</v>
      </c>
      <c r="E89" s="8">
        <f>(IM_parameters_by_neuron_type!B12)</f>
        <v>27</v>
      </c>
      <c r="F89" s="8">
        <f>(IM_parameters_by_neuron_type!B13)</f>
        <v>72</v>
      </c>
      <c r="G89" s="8">
        <f>(IM_parameters_by_neuron_type!B14)</f>
        <v>0</v>
      </c>
    </row>
    <row r="90" spans="1:7" hidden="1" x14ac:dyDescent="0.25">
      <c r="A90" s="15"/>
      <c r="B90" s="8"/>
      <c r="C90" s="8"/>
      <c r="D90" s="8"/>
      <c r="E90" s="8"/>
      <c r="F90" s="8"/>
      <c r="G90" s="8"/>
    </row>
    <row r="91" spans="1:7" ht="30" x14ac:dyDescent="0.25">
      <c r="A91" s="15" t="s">
        <v>10</v>
      </c>
      <c r="B91" s="15">
        <f t="shared" ref="B91:B101" si="1">F63</f>
        <v>51</v>
      </c>
      <c r="C91" s="8">
        <f>(syn_conn_prob!B10)</f>
        <v>36</v>
      </c>
      <c r="D91" s="8">
        <f>(syn_conn_prob!B11)</f>
        <v>0</v>
      </c>
      <c r="E91" s="8">
        <f>(syn_conn_prob!B12)</f>
        <v>0</v>
      </c>
      <c r="F91" s="8">
        <f>(syn_conn_prob!B13)</f>
        <v>15</v>
      </c>
      <c r="G91" s="8">
        <f>(syn_conn_prob!B14)</f>
        <v>0</v>
      </c>
    </row>
    <row r="92" spans="1:7" hidden="1" x14ac:dyDescent="0.25">
      <c r="A92" s="15"/>
      <c r="B92" s="15"/>
      <c r="C92" s="8"/>
      <c r="D92" s="8"/>
      <c r="E92" s="8"/>
      <c r="F92" s="8"/>
      <c r="G92" s="8"/>
    </row>
    <row r="93" spans="1:7" ht="30" x14ac:dyDescent="0.25">
      <c r="A93" s="15" t="s">
        <v>13</v>
      </c>
      <c r="B93" s="15">
        <f t="shared" si="1"/>
        <v>102</v>
      </c>
      <c r="C93" s="8">
        <f>(syn_conds!B10)</f>
        <v>51</v>
      </c>
      <c r="D93" s="8">
        <f>(syn_conds!B11)</f>
        <v>0</v>
      </c>
      <c r="E93" s="8">
        <f>(syn_conds!B12)</f>
        <v>0</v>
      </c>
      <c r="F93" s="8">
        <f>(syn_conds!B13)</f>
        <v>51</v>
      </c>
      <c r="G93" s="8">
        <f>(syn_conds!B14)</f>
        <v>0</v>
      </c>
    </row>
    <row r="94" spans="1:7" hidden="1" x14ac:dyDescent="0.25">
      <c r="A94" s="15"/>
      <c r="B94" s="15"/>
      <c r="C94" s="8"/>
      <c r="D94" s="8"/>
      <c r="E94" s="8"/>
      <c r="F94" s="8"/>
      <c r="G94" s="8"/>
    </row>
    <row r="95" spans="1:7" x14ac:dyDescent="0.25">
      <c r="A95" s="15" t="s">
        <v>15</v>
      </c>
      <c r="B95" s="15">
        <f t="shared" si="1"/>
        <v>102</v>
      </c>
      <c r="C95" s="8">
        <f>(syn_resource_release!B10)</f>
        <v>51</v>
      </c>
      <c r="D95" s="8">
        <f>(syn_resource_release!B11)</f>
        <v>0</v>
      </c>
      <c r="E95" s="8">
        <f>(syn_resource_release!B12)</f>
        <v>0</v>
      </c>
      <c r="F95" s="8">
        <f>(syn_resource_release!B13)</f>
        <v>51</v>
      </c>
      <c r="G95" s="8">
        <f>(syn_resource_release!B14)</f>
        <v>0</v>
      </c>
    </row>
    <row r="96" spans="1:7" hidden="1" x14ac:dyDescent="0.25">
      <c r="A96" s="15"/>
      <c r="B96" s="15"/>
      <c r="C96" s="8"/>
      <c r="D96" s="8"/>
      <c r="E96" s="8"/>
      <c r="F96" s="8"/>
      <c r="G96" s="8"/>
    </row>
    <row r="97" spans="1:7" ht="30" x14ac:dyDescent="0.25">
      <c r="A97" s="15" t="s">
        <v>16</v>
      </c>
      <c r="B97" s="15">
        <f t="shared" si="1"/>
        <v>102</v>
      </c>
      <c r="C97" s="8">
        <f>(syn_rec_const!B10)</f>
        <v>51</v>
      </c>
      <c r="D97" s="8">
        <f>(syn_rec_const!B11)</f>
        <v>0</v>
      </c>
      <c r="E97" s="8">
        <f>(syn_rec_const!B12)</f>
        <v>0</v>
      </c>
      <c r="F97" s="8">
        <f>(syn_rec_const!B13)</f>
        <v>51</v>
      </c>
      <c r="G97" s="8">
        <f>(syn_rec_const!B14)</f>
        <v>0</v>
      </c>
    </row>
    <row r="98" spans="1:7" hidden="1" x14ac:dyDescent="0.25">
      <c r="A98" s="15"/>
      <c r="B98" s="15"/>
      <c r="C98" s="8"/>
      <c r="D98" s="8"/>
      <c r="E98" s="8"/>
      <c r="F98" s="8"/>
      <c r="G98" s="8"/>
    </row>
    <row r="99" spans="1:7" ht="30" x14ac:dyDescent="0.25">
      <c r="A99" s="15" t="s">
        <v>17</v>
      </c>
      <c r="B99" s="15">
        <f t="shared" si="1"/>
        <v>102</v>
      </c>
      <c r="C99" s="8">
        <f>(syn_decay_const!B10)</f>
        <v>51</v>
      </c>
      <c r="D99" s="8">
        <f>(syn_decay_const!B11)</f>
        <v>0</v>
      </c>
      <c r="E99" s="8">
        <f>(syn_decay_const!B12)</f>
        <v>0</v>
      </c>
      <c r="F99" s="8">
        <f>(syn_decay_const!B13)</f>
        <v>51</v>
      </c>
      <c r="G99" s="8">
        <f>(syn_decay_const!B14)</f>
        <v>0</v>
      </c>
    </row>
    <row r="100" spans="1:7" hidden="1" x14ac:dyDescent="0.25">
      <c r="A100" s="15"/>
      <c r="B100" s="15"/>
      <c r="C100" s="8"/>
      <c r="D100" s="8"/>
      <c r="E100" s="8"/>
      <c r="F100" s="8"/>
      <c r="G100" s="8"/>
    </row>
    <row r="101" spans="1:7" ht="30" x14ac:dyDescent="0.25">
      <c r="A101" s="15" t="s">
        <v>18</v>
      </c>
      <c r="B101" s="15">
        <f t="shared" si="1"/>
        <v>102</v>
      </c>
      <c r="C101" s="8">
        <f>(syn_facil_const!B10)</f>
        <v>51</v>
      </c>
      <c r="D101" s="8">
        <f>(syn_facil_const!B11)</f>
        <v>0</v>
      </c>
      <c r="E101" s="8">
        <f>(syn_facil_const!B12)</f>
        <v>0</v>
      </c>
      <c r="F101" s="8">
        <f>(syn_facil_const!B13)</f>
        <v>51</v>
      </c>
      <c r="G101" s="8">
        <f>(syn_facil_const!B14)</f>
        <v>0</v>
      </c>
    </row>
    <row r="102" spans="1:7" hidden="1" x14ac:dyDescent="0.25">
      <c r="A102" s="15"/>
      <c r="B102" s="15"/>
      <c r="C102" s="8"/>
      <c r="D102" s="8"/>
      <c r="E102" s="8"/>
      <c r="F102" s="8"/>
      <c r="G102" s="8"/>
    </row>
    <row r="103" spans="1:7" x14ac:dyDescent="0.25">
      <c r="A103" s="8" t="s">
        <v>14</v>
      </c>
      <c r="B103" s="8">
        <f>SUBTOTAL(109,Table48['# of Parameter PDFs])</f>
        <v>713</v>
      </c>
      <c r="C103" s="8">
        <f>SUBTOTAL(109,Table48[Estimate Level 1])</f>
        <v>344</v>
      </c>
      <c r="D103" s="8">
        <f>SUBTOTAL(109,Table48[Estimate Level 2])</f>
        <v>0</v>
      </c>
      <c r="E103" s="8">
        <f>SUBTOTAL(109,Table48[Estimate Level 3])</f>
        <v>27</v>
      </c>
      <c r="F103" s="8">
        <f>SUBTOTAL(109,Table48[Estimate Level 4])</f>
        <v>342</v>
      </c>
      <c r="G103" s="8">
        <f>SUBTOTAL(109,Table48[Estimate Level 5])</f>
        <v>0</v>
      </c>
    </row>
  </sheetData>
  <pageMargins left="0.7" right="0.7" top="0.75" bottom="0.75" header="0.3" footer="0.3"/>
  <pageSetup orientation="portrait" verticalDpi="0" r:id="rId1"/>
  <ignoredErrors>
    <ignoredError sqref="B12 C87 D89:G89 B14 C89 D91:G91 C91 D93:G93 C93 D95:G95 C95 D97:G97 C97 D99:G99 D101:G101" calculatedColumn="1"/>
  </ignoredErrors>
  <tableParts count="6">
    <tablePart r:id="rId2"/>
    <tablePart r:id="rId3"/>
    <tablePart r:id="rId4"/>
    <tablePart r:id="rId5"/>
    <tablePart r:id="rId6"/>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219A3-203E-415B-8342-00257F6478CB}">
  <sheetPr codeName="Sheet25"/>
  <dimension ref="A1:K22"/>
  <sheetViews>
    <sheetView zoomScale="88" workbookViewId="0"/>
  </sheetViews>
  <sheetFormatPr defaultColWidth="8.85546875" defaultRowHeight="15" x14ac:dyDescent="0.25"/>
  <cols>
    <col min="1" max="1" width="20.7109375" customWidth="1"/>
    <col min="2" max="2" width="29.28515625" customWidth="1"/>
    <col min="3" max="3" width="16" customWidth="1"/>
    <col min="4" max="4" width="27.42578125" customWidth="1"/>
    <col min="7" max="7" width="16.7109375" customWidth="1"/>
    <col min="9" max="9" width="21.7109375" customWidth="1"/>
    <col min="10" max="10" width="13.85546875" customWidth="1"/>
    <col min="11" max="11" width="27" customWidth="1"/>
    <col min="12" max="12" width="17.7109375" customWidth="1"/>
  </cols>
  <sheetData>
    <row r="1" spans="1:11" ht="90" x14ac:dyDescent="0.25">
      <c r="A1" s="15" t="s">
        <v>99</v>
      </c>
      <c r="B1" s="15" t="s">
        <v>100</v>
      </c>
      <c r="C1" s="15" t="s">
        <v>101</v>
      </c>
      <c r="D1" s="15" t="s">
        <v>102</v>
      </c>
      <c r="G1" s="15" t="s">
        <v>146</v>
      </c>
      <c r="H1" s="34"/>
      <c r="I1" s="15" t="s">
        <v>147</v>
      </c>
      <c r="J1" s="15">
        <f>SUM(B11:B13, B21)</f>
        <v>161</v>
      </c>
      <c r="K1" s="15" t="s">
        <v>179</v>
      </c>
    </row>
    <row r="2" spans="1:11" ht="60" x14ac:dyDescent="0.25">
      <c r="A2" s="32" t="s">
        <v>103</v>
      </c>
      <c r="B2" s="15">
        <v>1</v>
      </c>
      <c r="C2" s="15" t="s">
        <v>104</v>
      </c>
      <c r="D2" s="15" t="s">
        <v>105</v>
      </c>
      <c r="G2" s="15" t="s">
        <v>148</v>
      </c>
      <c r="H2" s="32"/>
      <c r="I2" s="15" t="s">
        <v>149</v>
      </c>
      <c r="J2" s="15">
        <f>SUM(B2:B4, B7:B10,B19:B20)</f>
        <v>51</v>
      </c>
      <c r="K2" s="15" t="s">
        <v>180</v>
      </c>
    </row>
    <row r="3" spans="1:11" ht="90" x14ac:dyDescent="0.25">
      <c r="A3" s="32" t="s">
        <v>106</v>
      </c>
      <c r="B3" s="15">
        <v>1</v>
      </c>
      <c r="C3" s="15">
        <v>0</v>
      </c>
      <c r="D3" s="15" t="s">
        <v>107</v>
      </c>
      <c r="G3" s="15" t="s">
        <v>150</v>
      </c>
      <c r="H3" s="33"/>
      <c r="I3" s="15" t="s">
        <v>172</v>
      </c>
      <c r="J3" s="15">
        <f>SUM(B5:B6,B14:B15,B17:B18)</f>
        <v>306</v>
      </c>
      <c r="K3" s="15" t="s">
        <v>181</v>
      </c>
    </row>
    <row r="4" spans="1:11" ht="90" x14ac:dyDescent="0.25">
      <c r="A4" s="32" t="s">
        <v>108</v>
      </c>
      <c r="B4" s="15">
        <v>1</v>
      </c>
      <c r="C4" s="15">
        <v>-1</v>
      </c>
      <c r="D4" s="15" t="s">
        <v>109</v>
      </c>
      <c r="G4" s="15" t="s">
        <v>155</v>
      </c>
      <c r="H4" s="35"/>
      <c r="I4" s="15" t="s">
        <v>171</v>
      </c>
      <c r="J4" s="15">
        <f>SUM(B16)</f>
        <v>51</v>
      </c>
      <c r="K4" s="15" t="s">
        <v>182</v>
      </c>
    </row>
    <row r="5" spans="1:11" ht="30" x14ac:dyDescent="0.25">
      <c r="A5" s="33" t="s">
        <v>110</v>
      </c>
      <c r="B5" s="15">
        <v>51</v>
      </c>
      <c r="C5" s="15">
        <v>0</v>
      </c>
      <c r="D5" s="15" t="s">
        <v>111</v>
      </c>
    </row>
    <row r="6" spans="1:11" ht="30" x14ac:dyDescent="0.25">
      <c r="A6" s="33" t="s">
        <v>112</v>
      </c>
      <c r="B6" s="15">
        <v>51</v>
      </c>
      <c r="C6" s="15">
        <v>0</v>
      </c>
      <c r="D6" s="15" t="s">
        <v>113</v>
      </c>
    </row>
    <row r="7" spans="1:11" ht="30" x14ac:dyDescent="0.25">
      <c r="A7" s="32" t="s">
        <v>114</v>
      </c>
      <c r="B7" s="15">
        <v>8</v>
      </c>
      <c r="C7" s="15">
        <v>1</v>
      </c>
      <c r="D7" s="15" t="s">
        <v>115</v>
      </c>
    </row>
    <row r="8" spans="1:11" ht="30" x14ac:dyDescent="0.25">
      <c r="A8" s="32" t="s">
        <v>116</v>
      </c>
      <c r="B8" s="15">
        <v>8</v>
      </c>
      <c r="C8" s="15">
        <v>1</v>
      </c>
      <c r="D8" s="15" t="s">
        <v>117</v>
      </c>
    </row>
    <row r="9" spans="1:11" ht="45" x14ac:dyDescent="0.25">
      <c r="A9" s="32" t="s">
        <v>118</v>
      </c>
      <c r="B9" s="15">
        <v>8</v>
      </c>
      <c r="C9" s="15" t="s">
        <v>119</v>
      </c>
      <c r="D9" s="15" t="s">
        <v>120</v>
      </c>
    </row>
    <row r="10" spans="1:11" ht="60" x14ac:dyDescent="0.25">
      <c r="A10" s="32" t="s">
        <v>121</v>
      </c>
      <c r="B10" s="15">
        <v>8</v>
      </c>
      <c r="C10" s="15" t="s">
        <v>122</v>
      </c>
      <c r="D10" s="15" t="s">
        <v>123</v>
      </c>
    </row>
    <row r="11" spans="1:11" ht="30" x14ac:dyDescent="0.25">
      <c r="A11" s="75" t="s">
        <v>124</v>
      </c>
      <c r="B11" s="15">
        <v>51</v>
      </c>
      <c r="C11" s="15">
        <v>0.1</v>
      </c>
      <c r="D11" s="15" t="s">
        <v>125</v>
      </c>
    </row>
    <row r="12" spans="1:11" x14ac:dyDescent="0.25">
      <c r="A12" s="34" t="s">
        <v>153</v>
      </c>
      <c r="B12" s="15">
        <v>51</v>
      </c>
      <c r="C12" s="15">
        <v>0.1</v>
      </c>
      <c r="D12" s="15" t="s">
        <v>154</v>
      </c>
    </row>
    <row r="13" spans="1:11" ht="30" x14ac:dyDescent="0.25">
      <c r="A13" s="75" t="s">
        <v>126</v>
      </c>
      <c r="B13" s="15">
        <v>51</v>
      </c>
      <c r="C13" s="15">
        <v>0.1</v>
      </c>
      <c r="D13" s="15" t="s">
        <v>127</v>
      </c>
    </row>
    <row r="14" spans="1:11" ht="30" x14ac:dyDescent="0.25">
      <c r="A14" s="33" t="s">
        <v>128</v>
      </c>
      <c r="B14" s="15">
        <v>51</v>
      </c>
      <c r="C14" s="15">
        <v>1</v>
      </c>
      <c r="D14" s="15" t="s">
        <v>129</v>
      </c>
    </row>
    <row r="15" spans="1:11" ht="30" x14ac:dyDescent="0.25">
      <c r="A15" s="33" t="s">
        <v>130</v>
      </c>
      <c r="B15" s="15">
        <v>51</v>
      </c>
      <c r="C15" s="15">
        <v>1</v>
      </c>
      <c r="D15" s="15" t="s">
        <v>131</v>
      </c>
    </row>
    <row r="16" spans="1:11" ht="30" x14ac:dyDescent="0.25">
      <c r="A16" s="36" t="s">
        <v>132</v>
      </c>
      <c r="B16" s="15">
        <v>51</v>
      </c>
      <c r="C16" s="15">
        <v>-1</v>
      </c>
      <c r="D16" s="15" t="s">
        <v>133</v>
      </c>
    </row>
    <row r="17" spans="1:4" ht="45" x14ac:dyDescent="0.25">
      <c r="A17" s="33" t="s">
        <v>134</v>
      </c>
      <c r="B17" s="15">
        <v>51</v>
      </c>
      <c r="C17" s="15">
        <v>1</v>
      </c>
      <c r="D17" s="15" t="s">
        <v>135</v>
      </c>
    </row>
    <row r="18" spans="1:4" ht="45" x14ac:dyDescent="0.25">
      <c r="A18" s="33" t="s">
        <v>136</v>
      </c>
      <c r="B18" s="15">
        <v>51</v>
      </c>
      <c r="C18" s="15">
        <v>1</v>
      </c>
      <c r="D18" s="15" t="s">
        <v>137</v>
      </c>
    </row>
    <row r="19" spans="1:4" ht="45" x14ac:dyDescent="0.25">
      <c r="A19" s="32" t="s">
        <v>138</v>
      </c>
      <c r="B19" s="15">
        <v>8</v>
      </c>
      <c r="C19" s="15" t="s">
        <v>139</v>
      </c>
      <c r="D19" s="15" t="s">
        <v>140</v>
      </c>
    </row>
    <row r="20" spans="1:4" ht="45" x14ac:dyDescent="0.25">
      <c r="A20" s="32" t="s">
        <v>141</v>
      </c>
      <c r="B20" s="15">
        <v>8</v>
      </c>
      <c r="C20" s="15" t="s">
        <v>142</v>
      </c>
      <c r="D20" s="15" t="s">
        <v>143</v>
      </c>
    </row>
    <row r="21" spans="1:4" ht="30" x14ac:dyDescent="0.25">
      <c r="A21" s="34" t="s">
        <v>144</v>
      </c>
      <c r="B21" s="15">
        <v>8</v>
      </c>
      <c r="C21" s="15">
        <v>1</v>
      </c>
      <c r="D21" s="15" t="s">
        <v>145</v>
      </c>
    </row>
    <row r="22" spans="1:4" x14ac:dyDescent="0.25">
      <c r="A22" s="15"/>
      <c r="B22" s="15"/>
      <c r="C22" s="15"/>
      <c r="D22" s="15"/>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E52"/>
  <sheetViews>
    <sheetView workbookViewId="0"/>
  </sheetViews>
  <sheetFormatPr defaultColWidth="8.85546875" defaultRowHeight="15" x14ac:dyDescent="0.25"/>
  <cols>
    <col min="1" max="1" width="33.42578125" style="8" bestFit="1" customWidth="1"/>
    <col min="2" max="2" width="13.140625" style="8" customWidth="1"/>
    <col min="3" max="3" width="17.85546875" style="8" bestFit="1" customWidth="1"/>
    <col min="4" max="4" width="16.42578125" style="8" bestFit="1" customWidth="1"/>
    <col min="5" max="5" width="19.42578125" style="8" bestFit="1" customWidth="1"/>
  </cols>
  <sheetData>
    <row r="1" spans="1:5" x14ac:dyDescent="0.25">
      <c r="A1" s="8" t="s">
        <v>339</v>
      </c>
      <c r="C1" s="8" t="s">
        <v>21</v>
      </c>
      <c r="D1" s="8" t="s">
        <v>22</v>
      </c>
      <c r="E1" s="8" t="s">
        <v>23</v>
      </c>
    </row>
    <row r="2" spans="1:5" x14ac:dyDescent="0.25">
      <c r="A2" s="8" t="s">
        <v>24</v>
      </c>
      <c r="C2" s="8" t="s">
        <v>25</v>
      </c>
      <c r="D2" s="8" t="s">
        <v>26</v>
      </c>
      <c r="E2" s="8" t="s">
        <v>27</v>
      </c>
    </row>
    <row r="3" spans="1:5" x14ac:dyDescent="0.25">
      <c r="A3" s="8" t="s">
        <v>28</v>
      </c>
      <c r="C3" s="8" t="s">
        <v>29</v>
      </c>
      <c r="D3" s="8" t="s">
        <v>26</v>
      </c>
      <c r="E3" s="8" t="s">
        <v>30</v>
      </c>
    </row>
    <row r="4" spans="1:5" x14ac:dyDescent="0.25">
      <c r="A4" s="8" t="s">
        <v>31</v>
      </c>
      <c r="C4" s="8" t="s">
        <v>32</v>
      </c>
      <c r="D4" s="8" t="s">
        <v>26</v>
      </c>
      <c r="E4" s="8" t="s">
        <v>30</v>
      </c>
    </row>
    <row r="5" spans="1:5" x14ac:dyDescent="0.25">
      <c r="A5" s="8" t="s">
        <v>33</v>
      </c>
      <c r="C5" s="8" t="s">
        <v>34</v>
      </c>
      <c r="D5" s="8" t="s">
        <v>26</v>
      </c>
      <c r="E5" s="8" t="s">
        <v>30</v>
      </c>
    </row>
    <row r="6" spans="1:5" x14ac:dyDescent="0.25">
      <c r="A6" s="8" t="s">
        <v>35</v>
      </c>
      <c r="C6" s="8" t="s">
        <v>36</v>
      </c>
      <c r="D6" s="8" t="s">
        <v>26</v>
      </c>
      <c r="E6" s="8" t="s">
        <v>30</v>
      </c>
    </row>
    <row r="7" spans="1:5" x14ac:dyDescent="0.25">
      <c r="A7" s="8" t="s">
        <v>38</v>
      </c>
      <c r="C7" s="8" t="s">
        <v>37</v>
      </c>
      <c r="D7" s="8" t="s">
        <v>26</v>
      </c>
      <c r="E7" s="8" t="s">
        <v>30</v>
      </c>
    </row>
    <row r="8" spans="1:5" x14ac:dyDescent="0.25">
      <c r="A8" s="8" t="s">
        <v>338</v>
      </c>
      <c r="C8" s="8" t="s">
        <v>188</v>
      </c>
      <c r="D8" s="8" t="s">
        <v>26</v>
      </c>
      <c r="E8" s="8" t="s">
        <v>30</v>
      </c>
    </row>
    <row r="9" spans="1:5" x14ac:dyDescent="0.25">
      <c r="A9" s="8" t="s">
        <v>337</v>
      </c>
      <c r="C9" s="8" t="s">
        <v>40</v>
      </c>
      <c r="D9" s="8" t="s">
        <v>26</v>
      </c>
      <c r="E9" s="8" t="s">
        <v>30</v>
      </c>
    </row>
    <row r="10" spans="1:5" x14ac:dyDescent="0.25">
      <c r="A10" s="8" t="s">
        <v>39</v>
      </c>
    </row>
    <row r="11" spans="1:5" x14ac:dyDescent="0.25">
      <c r="A11" s="8" t="s">
        <v>41</v>
      </c>
    </row>
    <row r="12" spans="1:5" x14ac:dyDescent="0.25">
      <c r="A12" s="8" t="s">
        <v>42</v>
      </c>
    </row>
    <row r="13" spans="1:5" x14ac:dyDescent="0.25">
      <c r="A13" s="8" t="s">
        <v>43</v>
      </c>
    </row>
    <row r="14" spans="1:5" x14ac:dyDescent="0.25">
      <c r="A14" s="8" t="s">
        <v>44</v>
      </c>
    </row>
    <row r="15" spans="1:5" x14ac:dyDescent="0.25">
      <c r="A15" s="8" t="s">
        <v>340</v>
      </c>
    </row>
    <row r="16" spans="1:5" x14ac:dyDescent="0.25">
      <c r="A16" s="8" t="s">
        <v>341</v>
      </c>
    </row>
    <row r="17" spans="1:1" x14ac:dyDescent="0.25">
      <c r="A17" s="8" t="s">
        <v>45</v>
      </c>
    </row>
    <row r="18" spans="1:1" x14ac:dyDescent="0.25">
      <c r="A18" s="8" t="s">
        <v>46</v>
      </c>
    </row>
    <row r="19" spans="1:1" x14ac:dyDescent="0.25">
      <c r="A19" s="8" t="s">
        <v>47</v>
      </c>
    </row>
    <row r="20" spans="1:1" x14ac:dyDescent="0.25">
      <c r="A20" s="8" t="s">
        <v>48</v>
      </c>
    </row>
    <row r="21" spans="1:1" x14ac:dyDescent="0.25">
      <c r="A21" s="8" t="s">
        <v>49</v>
      </c>
    </row>
    <row r="22" spans="1:1" x14ac:dyDescent="0.25">
      <c r="A22" s="8" t="s">
        <v>50</v>
      </c>
    </row>
    <row r="23" spans="1:1" x14ac:dyDescent="0.25">
      <c r="A23" s="8" t="s">
        <v>342</v>
      </c>
    </row>
    <row r="24" spans="1:1" x14ac:dyDescent="0.25">
      <c r="A24" s="8" t="s">
        <v>343</v>
      </c>
    </row>
    <row r="25" spans="1:1" x14ac:dyDescent="0.25">
      <c r="A25" s="8" t="s">
        <v>51</v>
      </c>
    </row>
    <row r="26" spans="1:1" x14ac:dyDescent="0.25">
      <c r="A26" s="8" t="s">
        <v>52</v>
      </c>
    </row>
    <row r="27" spans="1:1" x14ac:dyDescent="0.25">
      <c r="A27" s="8" t="s">
        <v>53</v>
      </c>
    </row>
    <row r="28" spans="1:1" x14ac:dyDescent="0.25">
      <c r="A28" s="8" t="s">
        <v>54</v>
      </c>
    </row>
    <row r="29" spans="1:1" x14ac:dyDescent="0.25">
      <c r="A29" s="8" t="s">
        <v>55</v>
      </c>
    </row>
    <row r="30" spans="1:1" x14ac:dyDescent="0.25">
      <c r="A30" s="8" t="s">
        <v>56</v>
      </c>
    </row>
    <row r="31" spans="1:1" x14ac:dyDescent="0.25">
      <c r="A31" s="8" t="s">
        <v>344</v>
      </c>
    </row>
    <row r="32" spans="1:1" x14ac:dyDescent="0.25">
      <c r="A32" s="8" t="s">
        <v>345</v>
      </c>
    </row>
    <row r="33" spans="1:1" x14ac:dyDescent="0.25">
      <c r="A33" s="8" t="s">
        <v>57</v>
      </c>
    </row>
    <row r="34" spans="1:1" x14ac:dyDescent="0.25">
      <c r="A34" s="8" t="s">
        <v>58</v>
      </c>
    </row>
    <row r="35" spans="1:1" x14ac:dyDescent="0.25">
      <c r="A35" s="8" t="s">
        <v>59</v>
      </c>
    </row>
    <row r="36" spans="1:1" x14ac:dyDescent="0.25">
      <c r="A36" s="8" t="s">
        <v>60</v>
      </c>
    </row>
    <row r="37" spans="1:1" x14ac:dyDescent="0.25">
      <c r="A37" s="8" t="s">
        <v>61</v>
      </c>
    </row>
    <row r="38" spans="1:1" x14ac:dyDescent="0.25">
      <c r="A38" s="8" t="s">
        <v>62</v>
      </c>
    </row>
    <row r="39" spans="1:1" x14ac:dyDescent="0.25">
      <c r="A39" s="8" t="s">
        <v>346</v>
      </c>
    </row>
    <row r="40" spans="1:1" x14ac:dyDescent="0.25">
      <c r="A40" s="8" t="s">
        <v>347</v>
      </c>
    </row>
    <row r="41" spans="1:1" x14ac:dyDescent="0.25">
      <c r="A41" s="8" t="s">
        <v>348</v>
      </c>
    </row>
    <row r="42" spans="1:1" x14ac:dyDescent="0.25">
      <c r="A42" s="8" t="s">
        <v>349</v>
      </c>
    </row>
    <row r="43" spans="1:1" x14ac:dyDescent="0.25">
      <c r="A43" s="8" t="s">
        <v>350</v>
      </c>
    </row>
    <row r="44" spans="1:1" x14ac:dyDescent="0.25">
      <c r="A44" s="8" t="s">
        <v>351</v>
      </c>
    </row>
    <row r="45" spans="1:1" x14ac:dyDescent="0.25">
      <c r="A45" s="8" t="s">
        <v>352</v>
      </c>
    </row>
    <row r="46" spans="1:1" x14ac:dyDescent="0.25">
      <c r="A46" s="8" t="s">
        <v>353</v>
      </c>
    </row>
    <row r="47" spans="1:1" x14ac:dyDescent="0.25">
      <c r="A47" s="8" t="s">
        <v>354</v>
      </c>
    </row>
    <row r="48" spans="1:1" x14ac:dyDescent="0.25">
      <c r="A48" s="8" t="s">
        <v>355</v>
      </c>
    </row>
    <row r="49" spans="1:1" x14ac:dyDescent="0.25">
      <c r="A49" s="8" t="s">
        <v>356</v>
      </c>
    </row>
    <row r="50" spans="1:1" x14ac:dyDescent="0.25">
      <c r="A50" s="8" t="s">
        <v>357</v>
      </c>
    </row>
    <row r="51" spans="1:1" x14ac:dyDescent="0.25">
      <c r="A51" s="8" t="s">
        <v>358</v>
      </c>
    </row>
    <row r="52" spans="1:1" x14ac:dyDescent="0.25">
      <c r="A52" s="8" t="s">
        <v>359</v>
      </c>
    </row>
  </sheetData>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A5EAF-2834-4307-9BFB-438760BDACB4}">
  <sheetPr codeName="Sheet4"/>
  <dimension ref="A1:L9"/>
  <sheetViews>
    <sheetView workbookViewId="0"/>
  </sheetViews>
  <sheetFormatPr defaultColWidth="8.85546875" defaultRowHeight="15" x14ac:dyDescent="0.25"/>
  <cols>
    <col min="1" max="1" width="14.42578125" customWidth="1"/>
    <col min="2" max="2" width="11.42578125" customWidth="1"/>
    <col min="5" max="5" width="12.28515625" customWidth="1"/>
    <col min="7" max="7" width="10.85546875" customWidth="1"/>
    <col min="8" max="8" width="11" customWidth="1"/>
    <col min="9" max="9" width="13" customWidth="1"/>
    <col min="12" max="12" width="19.28515625" bestFit="1" customWidth="1"/>
  </cols>
  <sheetData>
    <row r="1" spans="1:12" ht="57" thickBot="1" x14ac:dyDescent="0.3">
      <c r="A1" s="23" t="s">
        <v>63</v>
      </c>
      <c r="B1" s="11" t="s">
        <v>29</v>
      </c>
      <c r="C1" s="12" t="s">
        <v>32</v>
      </c>
      <c r="D1" s="13" t="s">
        <v>34</v>
      </c>
      <c r="E1" s="12" t="s">
        <v>36</v>
      </c>
      <c r="F1" s="13" t="s">
        <v>37</v>
      </c>
      <c r="G1" s="13" t="s">
        <v>188</v>
      </c>
      <c r="H1" s="13" t="s">
        <v>40</v>
      </c>
      <c r="I1" s="12" t="s">
        <v>25</v>
      </c>
    </row>
    <row r="2" spans="1:12" ht="39" thickTop="1" thickBot="1" x14ac:dyDescent="0.3">
      <c r="A2" s="12" t="s">
        <v>188</v>
      </c>
      <c r="B2" s="6" t="s">
        <v>64</v>
      </c>
      <c r="C2" s="5" t="s">
        <v>64</v>
      </c>
      <c r="D2" s="5" t="s">
        <v>64</v>
      </c>
      <c r="E2" s="5" t="s">
        <v>65</v>
      </c>
      <c r="F2" s="5" t="s">
        <v>65</v>
      </c>
      <c r="G2" s="5" t="s">
        <v>65</v>
      </c>
      <c r="H2" s="5" t="s">
        <v>65</v>
      </c>
      <c r="I2" s="5" t="s">
        <v>67</v>
      </c>
      <c r="L2" s="16" t="s">
        <v>66</v>
      </c>
    </row>
    <row r="3" spans="1:12" ht="39" thickTop="1" thickBot="1" x14ac:dyDescent="0.3">
      <c r="A3" s="22" t="s">
        <v>29</v>
      </c>
      <c r="B3" s="7" t="s">
        <v>65</v>
      </c>
      <c r="C3" s="7" t="s">
        <v>65</v>
      </c>
      <c r="D3" s="7" t="s">
        <v>65</v>
      </c>
      <c r="E3" s="7" t="s">
        <v>65</v>
      </c>
      <c r="F3" s="7" t="s">
        <v>65</v>
      </c>
      <c r="G3" s="7" t="s">
        <v>65</v>
      </c>
      <c r="H3" s="7" t="s">
        <v>65</v>
      </c>
      <c r="I3" s="5" t="s">
        <v>67</v>
      </c>
      <c r="L3" s="16" t="s">
        <v>68</v>
      </c>
    </row>
    <row r="4" spans="1:12" ht="20.25" thickTop="1" thickBot="1" x14ac:dyDescent="0.3">
      <c r="A4" s="21" t="s">
        <v>32</v>
      </c>
      <c r="B4" s="5" t="s">
        <v>64</v>
      </c>
      <c r="C4" s="5" t="s">
        <v>67</v>
      </c>
      <c r="D4" s="5" t="s">
        <v>64</v>
      </c>
      <c r="E4" s="5" t="s">
        <v>67</v>
      </c>
      <c r="F4" s="5" t="s">
        <v>64</v>
      </c>
      <c r="G4" s="5" t="s">
        <v>64</v>
      </c>
      <c r="H4" s="5" t="s">
        <v>64</v>
      </c>
      <c r="I4" s="5" t="s">
        <v>67</v>
      </c>
      <c r="L4" s="17" t="s">
        <v>69</v>
      </c>
    </row>
    <row r="5" spans="1:12" ht="39" thickTop="1" thickBot="1" x14ac:dyDescent="0.3">
      <c r="A5" s="22" t="s">
        <v>34</v>
      </c>
      <c r="B5" s="5" t="s">
        <v>64</v>
      </c>
      <c r="C5" s="5" t="s">
        <v>64</v>
      </c>
      <c r="D5" s="5" t="s">
        <v>67</v>
      </c>
      <c r="E5" s="5" t="s">
        <v>64</v>
      </c>
      <c r="F5" s="5" t="s">
        <v>64</v>
      </c>
      <c r="G5" s="5" t="s">
        <v>64</v>
      </c>
      <c r="H5" s="3" t="s">
        <v>64</v>
      </c>
      <c r="I5" s="5" t="s">
        <v>67</v>
      </c>
      <c r="L5" s="17" t="s">
        <v>70</v>
      </c>
    </row>
    <row r="6" spans="1:12" ht="39" thickTop="1" thickBot="1" x14ac:dyDescent="0.3">
      <c r="A6" s="21" t="s">
        <v>36</v>
      </c>
      <c r="B6" s="5" t="s">
        <v>64</v>
      </c>
      <c r="C6" s="5" t="s">
        <v>67</v>
      </c>
      <c r="D6" s="5" t="s">
        <v>64</v>
      </c>
      <c r="E6" s="5" t="s">
        <v>64</v>
      </c>
      <c r="F6" s="5" t="s">
        <v>64</v>
      </c>
      <c r="G6" s="5" t="s">
        <v>64</v>
      </c>
      <c r="H6" s="5" t="s">
        <v>64</v>
      </c>
      <c r="I6" s="5" t="s">
        <v>64</v>
      </c>
      <c r="L6" s="18" t="s">
        <v>71</v>
      </c>
    </row>
    <row r="7" spans="1:12" ht="20.25" thickTop="1" thickBot="1" x14ac:dyDescent="0.3">
      <c r="A7" s="22" t="s">
        <v>37</v>
      </c>
      <c r="B7" s="5" t="s">
        <v>64</v>
      </c>
      <c r="C7" s="4" t="s">
        <v>64</v>
      </c>
      <c r="D7" s="5" t="s">
        <v>64</v>
      </c>
      <c r="E7" s="5" t="s">
        <v>64</v>
      </c>
      <c r="F7" s="5" t="s">
        <v>64</v>
      </c>
      <c r="G7" s="6" t="s">
        <v>64</v>
      </c>
      <c r="H7" s="6" t="s">
        <v>64</v>
      </c>
      <c r="I7" s="5" t="s">
        <v>67</v>
      </c>
      <c r="L7" s="17" t="s">
        <v>72</v>
      </c>
    </row>
    <row r="8" spans="1:12" ht="38.25" thickBot="1" x14ac:dyDescent="0.3">
      <c r="A8" s="12" t="s">
        <v>40</v>
      </c>
      <c r="B8" s="5" t="s">
        <v>64</v>
      </c>
      <c r="C8" s="5" t="s">
        <v>64</v>
      </c>
      <c r="D8" s="5" t="s">
        <v>64</v>
      </c>
      <c r="E8" s="5" t="s">
        <v>64</v>
      </c>
      <c r="F8" s="5" t="s">
        <v>64</v>
      </c>
      <c r="G8" s="5" t="s">
        <v>64</v>
      </c>
      <c r="H8" s="5" t="s">
        <v>64</v>
      </c>
      <c r="I8" s="5" t="s">
        <v>67</v>
      </c>
    </row>
    <row r="9" spans="1:12" ht="38.25" thickBot="1" x14ac:dyDescent="0.3">
      <c r="A9" s="22" t="s">
        <v>25</v>
      </c>
      <c r="B9" s="14" t="s">
        <v>73</v>
      </c>
      <c r="C9" s="14" t="s">
        <v>73</v>
      </c>
      <c r="D9" s="14" t="s">
        <v>74</v>
      </c>
      <c r="E9" s="14" t="s">
        <v>73</v>
      </c>
      <c r="F9" s="14" t="s">
        <v>73</v>
      </c>
      <c r="G9" s="14" t="s">
        <v>74</v>
      </c>
      <c r="H9" s="14" t="s">
        <v>73</v>
      </c>
      <c r="I9" s="14" t="s">
        <v>73</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FED9E7-8A7B-406D-BB37-3435DAFF168E}">
  <sheetPr codeName="Sheet5"/>
  <dimension ref="A1:K15"/>
  <sheetViews>
    <sheetView zoomScale="108" workbookViewId="0"/>
  </sheetViews>
  <sheetFormatPr defaultColWidth="8.85546875" defaultRowHeight="15" x14ac:dyDescent="0.25"/>
  <cols>
    <col min="1" max="1" width="16.28515625" style="8" customWidth="1"/>
    <col min="2" max="2" width="15.28515625" style="8" customWidth="1"/>
    <col min="3" max="3" width="20.85546875" style="8" bestFit="1" customWidth="1"/>
    <col min="4" max="4" width="13" bestFit="1" customWidth="1"/>
    <col min="5" max="5" width="15.28515625" customWidth="1"/>
    <col min="11" max="11" width="14.85546875" customWidth="1"/>
  </cols>
  <sheetData>
    <row r="1" spans="1:11" ht="30" x14ac:dyDescent="0.25">
      <c r="A1" s="20" t="s">
        <v>75</v>
      </c>
      <c r="B1" s="20" t="s">
        <v>76</v>
      </c>
    </row>
    <row r="2" spans="1:11" ht="37.5" x14ac:dyDescent="0.25">
      <c r="A2" s="10" t="s">
        <v>188</v>
      </c>
      <c r="B2" s="59">
        <v>3280</v>
      </c>
      <c r="C2"/>
    </row>
    <row r="3" spans="1:11" ht="37.5" x14ac:dyDescent="0.25">
      <c r="A3" s="10" t="s">
        <v>29</v>
      </c>
      <c r="B3" s="59">
        <v>1909</v>
      </c>
      <c r="C3"/>
    </row>
    <row r="4" spans="1:11" ht="18.75" x14ac:dyDescent="0.25">
      <c r="A4" s="10" t="s">
        <v>32</v>
      </c>
      <c r="B4" s="59">
        <v>515</v>
      </c>
      <c r="C4"/>
    </row>
    <row r="5" spans="1:11" ht="18.75" x14ac:dyDescent="0.25">
      <c r="A5" s="10" t="s">
        <v>34</v>
      </c>
      <c r="B5" s="59">
        <v>665</v>
      </c>
      <c r="C5"/>
    </row>
    <row r="6" spans="1:11" ht="37.5" x14ac:dyDescent="0.25">
      <c r="A6" s="10" t="s">
        <v>36</v>
      </c>
      <c r="B6" s="59">
        <v>4631</v>
      </c>
      <c r="C6"/>
    </row>
    <row r="7" spans="1:11" ht="18.75" x14ac:dyDescent="0.25">
      <c r="A7" s="10" t="s">
        <v>37</v>
      </c>
      <c r="B7" s="59">
        <v>2334</v>
      </c>
      <c r="C7"/>
    </row>
    <row r="8" spans="1:11" ht="37.5" x14ac:dyDescent="0.25">
      <c r="A8" s="10" t="s">
        <v>40</v>
      </c>
      <c r="B8" s="59">
        <v>1526</v>
      </c>
      <c r="C8"/>
      <c r="D8" s="2"/>
      <c r="E8" s="2"/>
      <c r="F8" s="2"/>
      <c r="G8" s="2"/>
      <c r="H8" s="2"/>
      <c r="I8" s="2"/>
      <c r="J8" s="2"/>
      <c r="K8" s="2"/>
    </row>
    <row r="9" spans="1:11" ht="37.5" x14ac:dyDescent="0.25">
      <c r="A9" s="10" t="s">
        <v>25</v>
      </c>
      <c r="B9" s="59">
        <v>74366</v>
      </c>
      <c r="C9"/>
      <c r="D9" s="2"/>
      <c r="E9" s="2"/>
      <c r="F9" s="2"/>
      <c r="G9" s="2"/>
      <c r="H9" s="2"/>
      <c r="I9" s="2"/>
      <c r="J9" s="2"/>
      <c r="K9" s="2"/>
    </row>
    <row r="10" spans="1:11" ht="15.75" x14ac:dyDescent="0.25">
      <c r="A10" s="24" t="s">
        <v>14</v>
      </c>
      <c r="B10" s="24">
        <f>SUM(B2:B9)</f>
        <v>89226</v>
      </c>
      <c r="C10" s="2"/>
      <c r="D10" s="2"/>
      <c r="E10" s="2"/>
      <c r="F10" s="2"/>
      <c r="G10" s="2"/>
      <c r="H10" s="2"/>
      <c r="I10" s="2"/>
      <c r="J10" s="2"/>
      <c r="K10" s="2"/>
    </row>
    <row r="11" spans="1:11" x14ac:dyDescent="0.25">
      <c r="A11" s="29"/>
      <c r="B11" s="8">
        <f>GetColorCountPopInt($B$2:$B$9,A11)</f>
        <v>8</v>
      </c>
    </row>
    <row r="12" spans="1:11" x14ac:dyDescent="0.25">
      <c r="A12" s="31"/>
      <c r="B12" s="8">
        <f>GetColorCountPopInt($B$2:$B$9,A12)</f>
        <v>0</v>
      </c>
    </row>
    <row r="13" spans="1:11" x14ac:dyDescent="0.25">
      <c r="A13" s="30"/>
      <c r="B13" s="8">
        <f>GetColorCountPopInt($B$2:$B$9,A13)</f>
        <v>0</v>
      </c>
    </row>
    <row r="14" spans="1:11" x14ac:dyDescent="0.25">
      <c r="A14" s="40"/>
      <c r="B14" s="8">
        <f>GetColorCountPopInt($B$2:$B$9,A14)</f>
        <v>0</v>
      </c>
      <c r="C14" s="19"/>
      <c r="D14" s="1"/>
    </row>
    <row r="15" spans="1:11" x14ac:dyDescent="0.25">
      <c r="A15" s="39"/>
      <c r="B15" s="8">
        <f>GetColorCountPopInt($B$2:$B$9,A15)</f>
        <v>0</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8B809-D87B-4B58-AF74-A45A69BDC218}">
  <sheetPr codeName="Sheet9"/>
  <dimension ref="A1:T14"/>
  <sheetViews>
    <sheetView workbookViewId="0"/>
  </sheetViews>
  <sheetFormatPr defaultColWidth="8.85546875" defaultRowHeight="15" x14ac:dyDescent="0.25"/>
  <cols>
    <col min="1" max="1" width="26.7109375" bestFit="1" customWidth="1"/>
    <col min="5" max="5" width="12.140625" bestFit="1" customWidth="1"/>
    <col min="16" max="16" width="12.85546875" bestFit="1" customWidth="1"/>
    <col min="18" max="18" width="12.7109375" bestFit="1" customWidth="1"/>
    <col min="19" max="19" width="12.140625" bestFit="1" customWidth="1"/>
    <col min="20" max="20" width="11" bestFit="1" customWidth="1"/>
  </cols>
  <sheetData>
    <row r="1" spans="1:20" x14ac:dyDescent="0.25">
      <c r="A1" s="24" t="s">
        <v>78</v>
      </c>
      <c r="B1" s="24" t="s">
        <v>79</v>
      </c>
      <c r="C1" s="24" t="s">
        <v>80</v>
      </c>
      <c r="D1" s="24" t="s">
        <v>81</v>
      </c>
      <c r="E1" s="24" t="s">
        <v>82</v>
      </c>
      <c r="F1" s="24" t="s">
        <v>83</v>
      </c>
      <c r="G1" s="24" t="s">
        <v>84</v>
      </c>
      <c r="H1" s="24" t="s">
        <v>85</v>
      </c>
      <c r="I1" s="24" t="s">
        <v>86</v>
      </c>
      <c r="J1" s="24" t="s">
        <v>87</v>
      </c>
      <c r="K1" s="24" t="s">
        <v>88</v>
      </c>
      <c r="L1" s="24" t="s">
        <v>89</v>
      </c>
      <c r="M1" s="24" t="s">
        <v>90</v>
      </c>
      <c r="N1" s="24" t="s">
        <v>91</v>
      </c>
      <c r="O1" s="24" t="s">
        <v>92</v>
      </c>
      <c r="P1" s="24" t="s">
        <v>93</v>
      </c>
      <c r="Q1" s="24" t="s">
        <v>94</v>
      </c>
      <c r="R1" s="24" t="s">
        <v>95</v>
      </c>
      <c r="S1" s="24" t="s">
        <v>96</v>
      </c>
      <c r="T1" s="8"/>
    </row>
    <row r="2" spans="1:20" ht="18.75" x14ac:dyDescent="0.25">
      <c r="A2" s="10" t="s">
        <v>188</v>
      </c>
      <c r="B2" s="79">
        <v>1.7760086158378201</v>
      </c>
      <c r="C2" s="74">
        <v>0</v>
      </c>
      <c r="D2" s="79">
        <v>5.8433207221631799E-3</v>
      </c>
      <c r="E2" s="74">
        <v>0</v>
      </c>
      <c r="F2" s="79">
        <v>-3.4487364836572301</v>
      </c>
      <c r="G2" s="74">
        <v>0</v>
      </c>
      <c r="H2" s="79">
        <v>52</v>
      </c>
      <c r="I2" s="74">
        <v>0</v>
      </c>
      <c r="J2" s="79">
        <v>186</v>
      </c>
      <c r="K2" s="74">
        <v>0</v>
      </c>
      <c r="L2" s="79">
        <v>-73.482111692286793</v>
      </c>
      <c r="M2" s="74">
        <v>0</v>
      </c>
      <c r="N2" s="79">
        <v>-54.936905899612903</v>
      </c>
      <c r="O2" s="74">
        <v>0</v>
      </c>
      <c r="P2" s="79">
        <v>-64.403715722203103</v>
      </c>
      <c r="Q2" s="74">
        <v>0</v>
      </c>
      <c r="R2" s="79">
        <v>7.0663132823604098</v>
      </c>
      <c r="S2" s="74">
        <v>0</v>
      </c>
      <c r="T2" s="8"/>
    </row>
    <row r="3" spans="1:20" ht="18.75" x14ac:dyDescent="0.25">
      <c r="A3" s="10" t="s">
        <v>29</v>
      </c>
      <c r="B3" s="65">
        <v>3.96146287759279</v>
      </c>
      <c r="C3" s="74">
        <v>0</v>
      </c>
      <c r="D3" s="65">
        <v>4.6386080718715398E-3</v>
      </c>
      <c r="E3" s="74">
        <v>0</v>
      </c>
      <c r="F3" s="65">
        <v>8.6836449365341704</v>
      </c>
      <c r="G3" s="74">
        <v>0</v>
      </c>
      <c r="H3" s="65">
        <v>15</v>
      </c>
      <c r="I3" s="74">
        <v>0</v>
      </c>
      <c r="J3" s="65">
        <v>165</v>
      </c>
      <c r="K3" s="74">
        <v>0</v>
      </c>
      <c r="L3" s="65">
        <v>-57.099782869594002</v>
      </c>
      <c r="M3" s="74">
        <v>0</v>
      </c>
      <c r="N3" s="65">
        <v>-51.718756282022298</v>
      </c>
      <c r="O3" s="74">
        <v>0</v>
      </c>
      <c r="P3" s="65">
        <v>-73.968504212537198</v>
      </c>
      <c r="Q3" s="74">
        <v>0</v>
      </c>
      <c r="R3" s="65">
        <v>27.7986355932787</v>
      </c>
      <c r="S3" s="74">
        <v>0</v>
      </c>
      <c r="T3" s="8"/>
    </row>
    <row r="4" spans="1:20" ht="18.75" x14ac:dyDescent="0.25">
      <c r="A4" s="10" t="s">
        <v>32</v>
      </c>
      <c r="B4" s="65">
        <v>0.99517290000000003</v>
      </c>
      <c r="C4" s="74">
        <v>0</v>
      </c>
      <c r="D4" s="65">
        <v>3.8461860000000001E-3</v>
      </c>
      <c r="E4" s="74">
        <v>0</v>
      </c>
      <c r="F4" s="65">
        <v>9.2642764999999994</v>
      </c>
      <c r="G4" s="74">
        <v>0</v>
      </c>
      <c r="H4" s="65">
        <v>-6</v>
      </c>
      <c r="I4" s="74">
        <v>0</v>
      </c>
      <c r="J4" s="65">
        <v>45</v>
      </c>
      <c r="K4" s="74">
        <v>0</v>
      </c>
      <c r="L4" s="65">
        <v>-57.506126000000002</v>
      </c>
      <c r="M4" s="74">
        <v>0</v>
      </c>
      <c r="N4" s="65">
        <v>-23.378765999999999</v>
      </c>
      <c r="O4" s="74">
        <v>0</v>
      </c>
      <c r="P4" s="65">
        <v>-47.555661000000001</v>
      </c>
      <c r="Q4" s="74">
        <v>0</v>
      </c>
      <c r="R4" s="65">
        <v>18.454934000000002</v>
      </c>
      <c r="S4" s="74">
        <v>0</v>
      </c>
      <c r="T4" s="8"/>
    </row>
    <row r="5" spans="1:20" ht="18.75" x14ac:dyDescent="0.25">
      <c r="A5" s="10" t="s">
        <v>34</v>
      </c>
      <c r="B5" s="65">
        <v>0.58300518599999995</v>
      </c>
      <c r="C5" s="74">
        <v>0</v>
      </c>
      <c r="D5" s="65">
        <v>5.7448300000000002E-3</v>
      </c>
      <c r="E5" s="74">
        <v>0</v>
      </c>
      <c r="F5" s="65">
        <v>-1.2448457150000001</v>
      </c>
      <c r="G5" s="74">
        <v>0</v>
      </c>
      <c r="H5" s="65">
        <v>54</v>
      </c>
      <c r="I5" s="74">
        <v>0</v>
      </c>
      <c r="J5" s="65">
        <v>135</v>
      </c>
      <c r="K5" s="74">
        <v>0</v>
      </c>
      <c r="L5" s="65">
        <v>-58.996677339999998</v>
      </c>
      <c r="M5" s="74">
        <v>0</v>
      </c>
      <c r="N5" s="65">
        <v>-39.39832097</v>
      </c>
      <c r="O5" s="74">
        <v>0</v>
      </c>
      <c r="P5" s="65">
        <v>-42.771185099999997</v>
      </c>
      <c r="Q5" s="74">
        <v>0</v>
      </c>
      <c r="R5" s="65">
        <v>18.27458854</v>
      </c>
      <c r="S5" s="74">
        <v>0</v>
      </c>
      <c r="T5" s="8"/>
    </row>
    <row r="6" spans="1:20" ht="18.75" x14ac:dyDescent="0.25">
      <c r="A6" s="10" t="s">
        <v>36</v>
      </c>
      <c r="B6" s="79">
        <v>3.9350304949999999</v>
      </c>
      <c r="C6" s="74">
        <v>0</v>
      </c>
      <c r="D6" s="79">
        <v>1.952449E-3</v>
      </c>
      <c r="E6" s="74">
        <v>0</v>
      </c>
      <c r="F6" s="79">
        <v>16.579570459999999</v>
      </c>
      <c r="G6" s="74">
        <v>0</v>
      </c>
      <c r="H6" s="79">
        <v>19</v>
      </c>
      <c r="I6" s="74">
        <v>0</v>
      </c>
      <c r="J6" s="79">
        <v>107</v>
      </c>
      <c r="K6" s="74">
        <v>0</v>
      </c>
      <c r="L6" s="79">
        <v>-64.672628079999996</v>
      </c>
      <c r="M6" s="74">
        <v>0</v>
      </c>
      <c r="N6" s="79">
        <v>-58.743971539999997</v>
      </c>
      <c r="O6" s="74">
        <v>0</v>
      </c>
      <c r="P6" s="79">
        <v>-59.703262580000001</v>
      </c>
      <c r="Q6" s="74">
        <v>0</v>
      </c>
      <c r="R6" s="79">
        <v>-9.928793958</v>
      </c>
      <c r="S6" s="74">
        <v>0</v>
      </c>
      <c r="T6" s="8"/>
    </row>
    <row r="7" spans="1:20" ht="18.75" x14ac:dyDescent="0.25">
      <c r="A7" s="10" t="s">
        <v>37</v>
      </c>
      <c r="B7" s="79">
        <v>1.9160382294204601</v>
      </c>
      <c r="C7" s="74">
        <v>0</v>
      </c>
      <c r="D7" s="79">
        <v>9.1511581301580002E-3</v>
      </c>
      <c r="E7" s="74">
        <v>0</v>
      </c>
      <c r="F7" s="79">
        <v>1.9083370231896599</v>
      </c>
      <c r="G7" s="74">
        <v>0</v>
      </c>
      <c r="H7" s="79">
        <v>45</v>
      </c>
      <c r="I7" s="74">
        <v>0</v>
      </c>
      <c r="J7" s="79">
        <v>364</v>
      </c>
      <c r="K7" s="74">
        <v>0</v>
      </c>
      <c r="L7" s="79">
        <v>-70.434513575026102</v>
      </c>
      <c r="M7" s="74">
        <v>0</v>
      </c>
      <c r="N7" s="79">
        <v>-40.858926375835502</v>
      </c>
      <c r="O7" s="74">
        <v>0</v>
      </c>
      <c r="P7" s="79">
        <v>-53.399850333600902</v>
      </c>
      <c r="Q7" s="74">
        <v>0</v>
      </c>
      <c r="R7" s="79">
        <v>-6.9197367156022596</v>
      </c>
      <c r="S7" s="74">
        <v>0</v>
      </c>
      <c r="T7" s="8"/>
    </row>
    <row r="8" spans="1:20" ht="18.75" x14ac:dyDescent="0.25">
      <c r="A8" s="10" t="s">
        <v>40</v>
      </c>
      <c r="B8" s="65">
        <v>1.37980713457205</v>
      </c>
      <c r="C8" s="74">
        <v>0</v>
      </c>
      <c r="D8" s="65">
        <v>7.8380597936410397E-3</v>
      </c>
      <c r="E8" s="74">
        <v>0</v>
      </c>
      <c r="F8" s="65">
        <v>12.9332855397722</v>
      </c>
      <c r="G8" s="74">
        <v>0</v>
      </c>
      <c r="H8" s="65">
        <v>0</v>
      </c>
      <c r="I8" s="74">
        <v>0</v>
      </c>
      <c r="J8" s="65">
        <v>209</v>
      </c>
      <c r="K8" s="74">
        <v>0</v>
      </c>
      <c r="L8" s="65">
        <v>-57.076423571379003</v>
      </c>
      <c r="M8" s="74">
        <v>0</v>
      </c>
      <c r="N8" s="65">
        <v>-39.102042784176199</v>
      </c>
      <c r="O8" s="74">
        <v>0</v>
      </c>
      <c r="P8" s="65">
        <v>-40.680664885269501</v>
      </c>
      <c r="Q8" s="74">
        <v>0</v>
      </c>
      <c r="R8" s="65">
        <v>16.3132681887705</v>
      </c>
      <c r="S8" s="74">
        <v>0</v>
      </c>
      <c r="T8" s="8"/>
    </row>
    <row r="9" spans="1:20" ht="18.75" x14ac:dyDescent="0.25">
      <c r="A9" s="10" t="s">
        <v>25</v>
      </c>
      <c r="B9" s="65">
        <v>0.79233870378958104</v>
      </c>
      <c r="C9" s="74">
        <v>0</v>
      </c>
      <c r="D9" s="65">
        <v>8.3835033409827894E-3</v>
      </c>
      <c r="E9" s="74">
        <v>0</v>
      </c>
      <c r="F9" s="65">
        <v>-42.552477688392798</v>
      </c>
      <c r="G9" s="74">
        <v>0</v>
      </c>
      <c r="H9" s="65">
        <v>588</v>
      </c>
      <c r="I9" s="74">
        <v>0</v>
      </c>
      <c r="J9" s="65">
        <v>366</v>
      </c>
      <c r="K9" s="74">
        <v>0</v>
      </c>
      <c r="L9" s="65">
        <v>-63.204400817165499</v>
      </c>
      <c r="M9" s="74">
        <v>0</v>
      </c>
      <c r="N9" s="65">
        <v>-33.604173312426703</v>
      </c>
      <c r="O9" s="74">
        <v>0</v>
      </c>
      <c r="P9" s="65">
        <v>-38.868099029409102</v>
      </c>
      <c r="Q9" s="74">
        <v>0</v>
      </c>
      <c r="R9" s="65">
        <v>35.861464855872597</v>
      </c>
      <c r="S9" s="74">
        <v>0</v>
      </c>
      <c r="T9" s="8"/>
    </row>
    <row r="10" spans="1:20" x14ac:dyDescent="0.25">
      <c r="A10" s="29"/>
      <c r="B10">
        <f>GetColorCountIM($B$2:$S$9,A10)</f>
        <v>45</v>
      </c>
    </row>
    <row r="11" spans="1:20" x14ac:dyDescent="0.25">
      <c r="A11" s="31"/>
      <c r="B11">
        <f>GetColorCountIM($B$2:$S$9,A11)</f>
        <v>0</v>
      </c>
    </row>
    <row r="12" spans="1:20" x14ac:dyDescent="0.25">
      <c r="A12" s="30"/>
      <c r="B12">
        <f>GetColorCountIM($B$2:$S$9,A12)</f>
        <v>27</v>
      </c>
    </row>
    <row r="13" spans="1:20" x14ac:dyDescent="0.25">
      <c r="A13" s="40"/>
      <c r="B13">
        <f>GetColorCountIM($B$2:$S$9,A13)</f>
        <v>72</v>
      </c>
    </row>
    <row r="14" spans="1:20" x14ac:dyDescent="0.25">
      <c r="A14" s="39"/>
      <c r="B14">
        <f>GetColorCountIM($B$2:$S$9,A14)</f>
        <v>0</v>
      </c>
    </row>
  </sheetData>
  <pageMargins left="0.7" right="0.7" top="0.75" bottom="0.75" header="0.3" footer="0.3"/>
  <pageSetup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J32"/>
  <sheetViews>
    <sheetView zoomScale="120" zoomScaleNormal="120" workbookViewId="0"/>
  </sheetViews>
  <sheetFormatPr defaultColWidth="8.85546875" defaultRowHeight="15" x14ac:dyDescent="0.25"/>
  <cols>
    <col min="1" max="1" width="15.7109375" customWidth="1"/>
    <col min="2" max="2" width="15.140625" customWidth="1"/>
    <col min="3" max="3" width="12.85546875" bestFit="1" customWidth="1"/>
    <col min="4" max="4" width="12.140625" bestFit="1" customWidth="1"/>
    <col min="5" max="5" width="14.85546875" customWidth="1"/>
    <col min="6" max="6" width="12.85546875" bestFit="1" customWidth="1"/>
    <col min="7" max="7" width="14.28515625" customWidth="1"/>
    <col min="8" max="8" width="15.7109375" customWidth="1"/>
    <col min="9" max="9" width="13.85546875" customWidth="1"/>
    <col min="10" max="10" width="12.7109375" customWidth="1"/>
    <col min="11" max="11" width="14.42578125" customWidth="1"/>
    <col min="12" max="12" width="15.42578125" customWidth="1"/>
    <col min="13" max="13" width="16" customWidth="1"/>
    <col min="14" max="14" width="18" customWidth="1"/>
  </cols>
  <sheetData>
    <row r="1" spans="1:9" ht="37.5" x14ac:dyDescent="0.25">
      <c r="A1" s="9" t="s">
        <v>63</v>
      </c>
      <c r="B1" s="10" t="s">
        <v>29</v>
      </c>
      <c r="C1" s="10" t="s">
        <v>32</v>
      </c>
      <c r="D1" s="10" t="s">
        <v>34</v>
      </c>
      <c r="E1" s="10" t="s">
        <v>36</v>
      </c>
      <c r="F1" s="10" t="s">
        <v>37</v>
      </c>
      <c r="G1" s="10" t="s">
        <v>188</v>
      </c>
      <c r="H1" s="10" t="s">
        <v>40</v>
      </c>
      <c r="I1" s="10" t="s">
        <v>25</v>
      </c>
    </row>
    <row r="2" spans="1:9" ht="37.5" x14ac:dyDescent="0.25">
      <c r="A2" s="10" t="s">
        <v>188</v>
      </c>
      <c r="B2" s="59">
        <v>5.2949667079531396E-3</v>
      </c>
      <c r="C2" s="59">
        <v>6.6720964272720604E-2</v>
      </c>
      <c r="D2" s="59">
        <v>4.9572466359966899E-2</v>
      </c>
      <c r="E2" s="57">
        <v>0</v>
      </c>
      <c r="F2" s="57">
        <v>0</v>
      </c>
      <c r="G2" s="57">
        <v>0</v>
      </c>
      <c r="H2" s="58">
        <v>0</v>
      </c>
      <c r="I2" s="62">
        <v>0.11882477878628001</v>
      </c>
    </row>
    <row r="3" spans="1:9" ht="37.5" x14ac:dyDescent="0.25">
      <c r="A3" s="10" t="s">
        <v>29</v>
      </c>
      <c r="B3" s="57">
        <v>0</v>
      </c>
      <c r="C3" s="57">
        <v>0</v>
      </c>
      <c r="D3" s="57">
        <v>0</v>
      </c>
      <c r="E3" s="57">
        <v>0</v>
      </c>
      <c r="F3" s="57">
        <v>0</v>
      </c>
      <c r="G3" s="57">
        <v>0</v>
      </c>
      <c r="H3" s="58">
        <v>0</v>
      </c>
      <c r="I3" s="63">
        <v>0.15</v>
      </c>
    </row>
    <row r="4" spans="1:9" ht="18.75" x14ac:dyDescent="0.25">
      <c r="A4" s="10" t="s">
        <v>32</v>
      </c>
      <c r="B4" s="63">
        <v>2.5000000000000001E-2</v>
      </c>
      <c r="C4" s="63">
        <v>5.0000000000000001E-3</v>
      </c>
      <c r="D4" s="63">
        <v>5.0000000000000001E-3</v>
      </c>
      <c r="E4" s="63">
        <v>2.5000000000000001E-2</v>
      </c>
      <c r="F4" s="57">
        <v>0</v>
      </c>
      <c r="G4" s="63">
        <v>5.0000000000000001E-3</v>
      </c>
      <c r="H4" s="63">
        <v>5.0000000000000001E-3</v>
      </c>
      <c r="I4" s="63">
        <v>0.15</v>
      </c>
    </row>
    <row r="5" spans="1:9" ht="18.75" x14ac:dyDescent="0.25">
      <c r="A5" s="10" t="s">
        <v>34</v>
      </c>
      <c r="B5" s="63">
        <v>2.5000000000000001E-2</v>
      </c>
      <c r="C5" s="63">
        <v>5.0000000000000001E-3</v>
      </c>
      <c r="D5" s="63">
        <v>5.0000000000000001E-3</v>
      </c>
      <c r="E5" s="63">
        <v>2.5000000000000001E-2</v>
      </c>
      <c r="F5" s="57">
        <v>0</v>
      </c>
      <c r="G5" s="63">
        <v>2.5000000000000001E-2</v>
      </c>
      <c r="H5" s="63">
        <v>5.0000000000000001E-3</v>
      </c>
      <c r="I5" s="63">
        <v>0.15</v>
      </c>
    </row>
    <row r="6" spans="1:9" ht="35.25" customHeight="1" x14ac:dyDescent="0.25">
      <c r="A6" s="10" t="s">
        <v>36</v>
      </c>
      <c r="B6" s="59">
        <v>6.5930729335000101E-3</v>
      </c>
      <c r="C6" s="59">
        <v>9.2638244044410609E-3</v>
      </c>
      <c r="D6" s="59">
        <v>4.3173209352937603E-3</v>
      </c>
      <c r="E6" s="59">
        <v>3.2578520820776599E-2</v>
      </c>
      <c r="F6" s="59">
        <v>3.85580973430123E-3</v>
      </c>
      <c r="G6" s="61">
        <v>7.7542363762281696E-3</v>
      </c>
      <c r="H6" s="62">
        <v>8.6247268877891799E-3</v>
      </c>
      <c r="I6" s="59">
        <v>2.7868609354794301E-2</v>
      </c>
    </row>
    <row r="7" spans="1:9" ht="15.75" customHeight="1" x14ac:dyDescent="0.25">
      <c r="A7" s="10" t="s">
        <v>37</v>
      </c>
      <c r="B7" s="59">
        <v>4.2463452406068204E-3</v>
      </c>
      <c r="C7" s="59">
        <v>1.6300617068683923E-2</v>
      </c>
      <c r="D7" s="59">
        <v>1.0742278540606838E-2</v>
      </c>
      <c r="E7" s="59">
        <v>1.7031561001183821E-2</v>
      </c>
      <c r="F7" s="59">
        <v>3.75271870052702E-3</v>
      </c>
      <c r="G7" s="61">
        <v>1.9817691068387301E-3</v>
      </c>
      <c r="H7" s="62">
        <v>1.6928542170631101E-2</v>
      </c>
      <c r="I7" s="62">
        <v>7.2096794265125302E-2</v>
      </c>
    </row>
    <row r="8" spans="1:9" ht="33" customHeight="1" x14ac:dyDescent="0.25">
      <c r="A8" s="10" t="s">
        <v>40</v>
      </c>
      <c r="B8" s="59">
        <v>4.3794178654446899E-3</v>
      </c>
      <c r="C8" s="59">
        <v>7.2882240621000996E-3</v>
      </c>
      <c r="D8" s="59">
        <v>5.2666273548661402E-3</v>
      </c>
      <c r="E8" s="59">
        <v>4.8020419318319397E-3</v>
      </c>
      <c r="F8" s="59">
        <v>2.6798174724298098E-3</v>
      </c>
      <c r="G8" s="61">
        <v>3.7556600379853901E-3</v>
      </c>
      <c r="H8" s="62">
        <v>2.1054852801474099E-3</v>
      </c>
      <c r="I8" s="62">
        <v>4.17555599977689E-2</v>
      </c>
    </row>
    <row r="9" spans="1:9" ht="37.5" x14ac:dyDescent="0.25">
      <c r="A9" s="10" t="s">
        <v>25</v>
      </c>
      <c r="B9" s="62">
        <v>1.4820539473313601E-2</v>
      </c>
      <c r="C9" s="62">
        <v>1.9741756276297501E-2</v>
      </c>
      <c r="D9" s="62">
        <v>1.7299423628140201E-2</v>
      </c>
      <c r="E9" s="62">
        <v>1.5857085924813E-2</v>
      </c>
      <c r="F9" s="62">
        <v>2.51567907913944E-2</v>
      </c>
      <c r="G9" s="62">
        <v>1.33672243607345E-2</v>
      </c>
      <c r="H9" s="62">
        <v>2.09934225689348E-2</v>
      </c>
      <c r="I9" s="62">
        <v>2.5066466223198299E-2</v>
      </c>
    </row>
    <row r="10" spans="1:9" x14ac:dyDescent="0.25">
      <c r="A10" s="29"/>
      <c r="B10">
        <f>GetColorCountConnInt($B$2:$I$9,A10)</f>
        <v>36</v>
      </c>
    </row>
    <row r="11" spans="1:9" x14ac:dyDescent="0.25">
      <c r="A11" s="31"/>
      <c r="B11">
        <f>GetColorCountConnInt($B$2:$I$9,A11)</f>
        <v>0</v>
      </c>
    </row>
    <row r="12" spans="1:9" x14ac:dyDescent="0.25">
      <c r="A12" s="30"/>
      <c r="B12">
        <f>GetColorCountConnInt($B$2:$I$9,A12)</f>
        <v>0</v>
      </c>
    </row>
    <row r="13" spans="1:9" x14ac:dyDescent="0.25">
      <c r="A13" s="40"/>
      <c r="B13">
        <f>GetColorCountConnInt($B$2:$I$9,A13)</f>
        <v>15</v>
      </c>
    </row>
    <row r="14" spans="1:9" x14ac:dyDescent="0.25">
      <c r="A14" s="39"/>
      <c r="B14">
        <f>GetColorCountConnInt($B$2:$I$9,A14)</f>
        <v>0</v>
      </c>
    </row>
    <row r="19" spans="1:10" ht="131.25" x14ac:dyDescent="0.25">
      <c r="A19" s="9" t="s">
        <v>316</v>
      </c>
      <c r="B19" s="10" t="s">
        <v>325</v>
      </c>
      <c r="C19" s="10" t="s">
        <v>326</v>
      </c>
      <c r="D19" s="10" t="s">
        <v>327</v>
      </c>
      <c r="E19" s="10" t="s">
        <v>328</v>
      </c>
      <c r="F19" s="10" t="s">
        <v>329</v>
      </c>
      <c r="G19" s="10" t="s">
        <v>330</v>
      </c>
      <c r="H19" s="10" t="s">
        <v>331</v>
      </c>
      <c r="I19" s="48" t="s">
        <v>332</v>
      </c>
      <c r="J19" s="49" t="s">
        <v>187</v>
      </c>
    </row>
    <row r="20" spans="1:10" ht="37.5" x14ac:dyDescent="0.25">
      <c r="A20" s="10" t="s">
        <v>317</v>
      </c>
      <c r="B20" s="50">
        <v>33154</v>
      </c>
      <c r="C20" s="50">
        <v>112705</v>
      </c>
      <c r="D20" s="50">
        <v>108127</v>
      </c>
      <c r="E20" s="51">
        <v>0</v>
      </c>
      <c r="F20" s="51">
        <v>0</v>
      </c>
      <c r="G20" s="51">
        <v>0</v>
      </c>
      <c r="H20" s="51">
        <v>0</v>
      </c>
      <c r="I20" s="52">
        <v>28983797</v>
      </c>
      <c r="J20" s="53">
        <f t="shared" ref="J20:J27" si="0">SUM(B20:I20)</f>
        <v>29237783</v>
      </c>
    </row>
    <row r="21" spans="1:10" ht="37.5" x14ac:dyDescent="0.25">
      <c r="A21" s="10" t="s">
        <v>318</v>
      </c>
      <c r="B21" s="54">
        <v>0</v>
      </c>
      <c r="C21" s="54">
        <v>0</v>
      </c>
      <c r="D21" s="54">
        <v>0</v>
      </c>
      <c r="E21" s="54">
        <v>0</v>
      </c>
      <c r="F21" s="54">
        <v>0</v>
      </c>
      <c r="G21" s="54">
        <v>0</v>
      </c>
      <c r="H21" s="54">
        <v>0</v>
      </c>
      <c r="I21" s="55">
        <v>21294704</v>
      </c>
      <c r="J21" s="53">
        <f t="shared" si="0"/>
        <v>21294704</v>
      </c>
    </row>
    <row r="22" spans="1:10" ht="18.75" x14ac:dyDescent="0.25">
      <c r="A22" s="10" t="s">
        <v>319</v>
      </c>
      <c r="B22" s="56">
        <v>24578</v>
      </c>
      <c r="C22" s="56">
        <v>1326</v>
      </c>
      <c r="D22" s="56">
        <v>1712</v>
      </c>
      <c r="E22" s="56">
        <v>59624</v>
      </c>
      <c r="F22" s="54">
        <v>0</v>
      </c>
      <c r="G22" s="56">
        <v>8446</v>
      </c>
      <c r="H22" s="56">
        <v>3929</v>
      </c>
      <c r="I22" s="55">
        <v>5744773</v>
      </c>
      <c r="J22" s="53">
        <f t="shared" si="0"/>
        <v>5844388</v>
      </c>
    </row>
    <row r="23" spans="1:10" ht="18.75" x14ac:dyDescent="0.25">
      <c r="A23" s="10" t="s">
        <v>320</v>
      </c>
      <c r="B23" s="56">
        <v>31737</v>
      </c>
      <c r="C23" s="56">
        <v>1712</v>
      </c>
      <c r="D23" s="56">
        <v>2211</v>
      </c>
      <c r="E23" s="56">
        <v>76990</v>
      </c>
      <c r="F23" s="54">
        <v>0</v>
      </c>
      <c r="G23" s="56">
        <v>54530</v>
      </c>
      <c r="H23" s="56">
        <v>5073</v>
      </c>
      <c r="I23" s="55">
        <v>7418008</v>
      </c>
      <c r="J23" s="53">
        <f t="shared" si="0"/>
        <v>7590261</v>
      </c>
    </row>
    <row r="24" spans="1:10" ht="37.5" x14ac:dyDescent="0.25">
      <c r="A24" s="10" t="s">
        <v>321</v>
      </c>
      <c r="B24" s="50">
        <v>58286</v>
      </c>
      <c r="C24" s="50">
        <v>22093</v>
      </c>
      <c r="D24" s="50">
        <v>13295</v>
      </c>
      <c r="E24" s="50">
        <v>698684</v>
      </c>
      <c r="F24" s="50">
        <v>41676</v>
      </c>
      <c r="G24" s="50">
        <v>117784</v>
      </c>
      <c r="H24" s="50">
        <v>60950</v>
      </c>
      <c r="I24" s="52">
        <v>9597641</v>
      </c>
      <c r="J24" s="53">
        <f t="shared" si="0"/>
        <v>10610409</v>
      </c>
    </row>
    <row r="25" spans="1:10" ht="18.75" x14ac:dyDescent="0.25">
      <c r="A25" s="10" t="s">
        <v>322</v>
      </c>
      <c r="B25" s="50">
        <v>18920</v>
      </c>
      <c r="C25" s="50">
        <v>19593</v>
      </c>
      <c r="D25" s="50">
        <v>16673</v>
      </c>
      <c r="E25" s="50">
        <v>184089</v>
      </c>
      <c r="F25" s="50">
        <v>20443</v>
      </c>
      <c r="G25" s="50">
        <v>15171</v>
      </c>
      <c r="H25" s="50">
        <v>60294</v>
      </c>
      <c r="I25" s="52">
        <v>12513858</v>
      </c>
      <c r="J25" s="53">
        <f t="shared" si="0"/>
        <v>12849041</v>
      </c>
    </row>
    <row r="26" spans="1:10" ht="37.5" x14ac:dyDescent="0.25">
      <c r="A26" s="10" t="s">
        <v>323</v>
      </c>
      <c r="B26" s="50">
        <v>12757</v>
      </c>
      <c r="C26" s="50">
        <v>5727</v>
      </c>
      <c r="D26" s="50">
        <v>5344</v>
      </c>
      <c r="E26" s="50">
        <v>33935</v>
      </c>
      <c r="F26" s="50">
        <v>9544</v>
      </c>
      <c r="G26" s="50">
        <v>18798</v>
      </c>
      <c r="H26" s="50">
        <v>4902</v>
      </c>
      <c r="I26" s="52">
        <v>4738526</v>
      </c>
      <c r="J26" s="53">
        <f t="shared" si="0"/>
        <v>4829533</v>
      </c>
    </row>
    <row r="27" spans="1:10" ht="37.5" x14ac:dyDescent="0.25">
      <c r="A27" s="10" t="s">
        <v>324</v>
      </c>
      <c r="B27" s="50">
        <v>2103993</v>
      </c>
      <c r="C27" s="50">
        <v>756079</v>
      </c>
      <c r="D27" s="50">
        <v>855515</v>
      </c>
      <c r="E27" s="50">
        <v>5461005</v>
      </c>
      <c r="F27" s="50">
        <v>4366470</v>
      </c>
      <c r="G27" s="50">
        <v>3260539</v>
      </c>
      <c r="H27" s="50">
        <v>2382386</v>
      </c>
      <c r="I27" s="52">
        <v>138625127</v>
      </c>
      <c r="J27" s="53">
        <f t="shared" si="0"/>
        <v>157811114</v>
      </c>
    </row>
    <row r="28" spans="1:10" x14ac:dyDescent="0.25">
      <c r="J28" s="53">
        <f>SUM(J20:J27)</f>
        <v>250067233</v>
      </c>
    </row>
    <row r="32" spans="1:10" x14ac:dyDescent="0.25">
      <c r="G32" s="1"/>
    </row>
  </sheetData>
  <conditionalFormatting sqref="B8:F8">
    <cfRule type="cellIs" dxfId="3" priority="7" operator="greaterThanOrEqual">
      <formula>1</formula>
    </cfRule>
  </conditionalFormatting>
  <conditionalFormatting sqref="B7:F7">
    <cfRule type="cellIs" dxfId="2" priority="6" operator="greaterThanOrEqual">
      <formula>1</formula>
    </cfRule>
  </conditionalFormatting>
  <conditionalFormatting sqref="B6:F6">
    <cfRule type="cellIs" dxfId="1" priority="5" operator="greaterThanOrEqual">
      <formula>1</formula>
    </cfRule>
  </conditionalFormatting>
  <conditionalFormatting sqref="B2:D2">
    <cfRule type="cellIs" dxfId="0" priority="4" operator="greaterThanOrEqual">
      <formula>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F3825-2B0F-46A0-9F2B-F4E245919FF0}">
  <sheetPr codeName="Sheet15"/>
  <dimension ref="A1:Q14"/>
  <sheetViews>
    <sheetView zoomScaleNormal="100" workbookViewId="0"/>
  </sheetViews>
  <sheetFormatPr defaultColWidth="8.85546875" defaultRowHeight="15" x14ac:dyDescent="0.25"/>
  <cols>
    <col min="1" max="1" width="79.5703125" bestFit="1"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s>
  <sheetData>
    <row r="1" spans="1:17" x14ac:dyDescent="0.25">
      <c r="A1" s="73" t="s">
        <v>191</v>
      </c>
      <c r="B1" s="73" t="s">
        <v>200</v>
      </c>
      <c r="C1" s="73" t="s">
        <v>201</v>
      </c>
      <c r="D1" s="73" t="s">
        <v>202</v>
      </c>
      <c r="E1" s="73" t="s">
        <v>203</v>
      </c>
      <c r="F1" s="73" t="s">
        <v>204</v>
      </c>
      <c r="G1" s="73" t="s">
        <v>205</v>
      </c>
      <c r="H1" s="73" t="s">
        <v>206</v>
      </c>
      <c r="I1" s="73" t="s">
        <v>207</v>
      </c>
      <c r="J1" s="73" t="s">
        <v>208</v>
      </c>
      <c r="K1" s="73" t="s">
        <v>209</v>
      </c>
      <c r="L1" s="73" t="s">
        <v>210</v>
      </c>
      <c r="M1" s="73" t="s">
        <v>211</v>
      </c>
      <c r="N1" s="73" t="s">
        <v>212</v>
      </c>
      <c r="O1" s="73" t="s">
        <v>213</v>
      </c>
      <c r="P1" s="73" t="s">
        <v>214</v>
      </c>
      <c r="Q1" s="73" t="s">
        <v>215</v>
      </c>
    </row>
    <row r="2" spans="1:17" x14ac:dyDescent="0.25">
      <c r="A2" s="73" t="s">
        <v>192</v>
      </c>
      <c r="B2" s="59">
        <v>1.4730544729999999</v>
      </c>
      <c r="C2" s="41">
        <v>0</v>
      </c>
      <c r="D2" s="59">
        <v>1.815288206</v>
      </c>
      <c r="E2" s="41">
        <v>0</v>
      </c>
      <c r="F2" s="59">
        <v>1.3081527879999999</v>
      </c>
      <c r="G2" s="41">
        <v>0</v>
      </c>
      <c r="H2" s="25">
        <v>0</v>
      </c>
      <c r="I2" s="25">
        <v>0</v>
      </c>
      <c r="J2" s="25">
        <v>0</v>
      </c>
      <c r="K2" s="25">
        <v>0</v>
      </c>
      <c r="L2" s="25">
        <v>0</v>
      </c>
      <c r="M2" s="25">
        <v>0</v>
      </c>
      <c r="N2" s="25">
        <v>0</v>
      </c>
      <c r="O2" s="25">
        <v>0</v>
      </c>
      <c r="P2" s="59">
        <v>1.183249644</v>
      </c>
      <c r="Q2" s="41">
        <v>0</v>
      </c>
    </row>
    <row r="3" spans="1:17" x14ac:dyDescent="0.25">
      <c r="A3" s="73" t="s">
        <v>193</v>
      </c>
      <c r="B3" s="25">
        <v>0</v>
      </c>
      <c r="C3" s="25">
        <v>0</v>
      </c>
      <c r="D3" s="25">
        <v>0</v>
      </c>
      <c r="E3" s="25">
        <v>0</v>
      </c>
      <c r="F3" s="25">
        <v>0</v>
      </c>
      <c r="G3" s="25">
        <v>0</v>
      </c>
      <c r="H3" s="25">
        <v>0</v>
      </c>
      <c r="I3" s="25">
        <v>0</v>
      </c>
      <c r="J3" s="25">
        <v>0</v>
      </c>
      <c r="K3" s="25">
        <v>0</v>
      </c>
      <c r="L3" s="25">
        <v>0</v>
      </c>
      <c r="M3" s="25">
        <v>0</v>
      </c>
      <c r="N3" s="25">
        <v>0</v>
      </c>
      <c r="O3" s="25">
        <v>0</v>
      </c>
      <c r="P3" s="59">
        <v>1.869561088</v>
      </c>
      <c r="Q3" s="41">
        <v>0</v>
      </c>
    </row>
    <row r="4" spans="1:17" x14ac:dyDescent="0.25">
      <c r="A4" s="73" t="s">
        <v>194</v>
      </c>
      <c r="B4" s="59">
        <v>2.0247880600000001</v>
      </c>
      <c r="C4" s="41">
        <v>0</v>
      </c>
      <c r="D4" s="59">
        <v>3.2816119939999999</v>
      </c>
      <c r="E4" s="41">
        <v>0</v>
      </c>
      <c r="F4" s="59">
        <v>1.6862383569999999</v>
      </c>
      <c r="G4" s="41">
        <v>0</v>
      </c>
      <c r="H4" s="59">
        <v>1.770407646</v>
      </c>
      <c r="I4" s="41">
        <v>0</v>
      </c>
      <c r="J4" s="60">
        <v>0</v>
      </c>
      <c r="K4" s="60">
        <v>0</v>
      </c>
      <c r="L4" s="59">
        <v>1.7508083780000001</v>
      </c>
      <c r="M4" s="41">
        <v>0</v>
      </c>
      <c r="N4" s="59">
        <v>1.8087262209999999</v>
      </c>
      <c r="O4" s="41">
        <v>0</v>
      </c>
      <c r="P4" s="59">
        <v>1.5724056959999999</v>
      </c>
      <c r="Q4" s="41">
        <v>0</v>
      </c>
    </row>
    <row r="5" spans="1:17" x14ac:dyDescent="0.25">
      <c r="A5" s="73" t="s">
        <v>195</v>
      </c>
      <c r="B5" s="59">
        <v>1.4938303930000001</v>
      </c>
      <c r="C5" s="41">
        <v>0</v>
      </c>
      <c r="D5" s="59">
        <v>1.745239175</v>
      </c>
      <c r="E5" s="41">
        <v>0</v>
      </c>
      <c r="F5" s="59">
        <v>0.96556768299999995</v>
      </c>
      <c r="G5" s="41">
        <v>0</v>
      </c>
      <c r="H5" s="59">
        <v>1.3714835759999999</v>
      </c>
      <c r="I5" s="41">
        <v>0</v>
      </c>
      <c r="J5" s="60">
        <v>0</v>
      </c>
      <c r="K5" s="60">
        <v>0</v>
      </c>
      <c r="L5" s="59">
        <v>1.3349710749999999</v>
      </c>
      <c r="M5" s="41">
        <v>0</v>
      </c>
      <c r="N5" s="59">
        <v>1.3552141179999999</v>
      </c>
      <c r="O5" s="41">
        <v>0</v>
      </c>
      <c r="P5" s="59">
        <v>1.306303671</v>
      </c>
      <c r="Q5" s="41">
        <v>0</v>
      </c>
    </row>
    <row r="6" spans="1:17" x14ac:dyDescent="0.25">
      <c r="A6" s="73" t="s">
        <v>196</v>
      </c>
      <c r="B6" s="59">
        <v>1.6551736990000001</v>
      </c>
      <c r="C6" s="41">
        <v>0</v>
      </c>
      <c r="D6" s="59">
        <v>1.9943184899999999</v>
      </c>
      <c r="E6" s="41">
        <v>0</v>
      </c>
      <c r="F6" s="59">
        <v>1.4426478680000001</v>
      </c>
      <c r="G6" s="41">
        <v>0</v>
      </c>
      <c r="H6" s="59">
        <v>1.5470364430000001</v>
      </c>
      <c r="I6" s="41">
        <v>0</v>
      </c>
      <c r="J6" s="59">
        <v>2.061179756</v>
      </c>
      <c r="K6" s="41">
        <v>0</v>
      </c>
      <c r="L6" s="59">
        <v>1.4904773760000001</v>
      </c>
      <c r="M6" s="41">
        <v>0</v>
      </c>
      <c r="N6" s="59">
        <v>1.567727407</v>
      </c>
      <c r="O6" s="41">
        <v>0</v>
      </c>
      <c r="P6" s="59">
        <v>1.431148109</v>
      </c>
      <c r="Q6" s="41">
        <v>0</v>
      </c>
    </row>
    <row r="7" spans="1:17" x14ac:dyDescent="0.25">
      <c r="A7" s="73" t="s">
        <v>197</v>
      </c>
      <c r="B7" s="59">
        <v>1.7583828509999999</v>
      </c>
      <c r="C7" s="41">
        <v>0</v>
      </c>
      <c r="D7" s="59">
        <v>2.1113596440000002</v>
      </c>
      <c r="E7" s="41">
        <v>0</v>
      </c>
      <c r="F7" s="59">
        <v>1.5400976900000001</v>
      </c>
      <c r="G7" s="41">
        <v>0</v>
      </c>
      <c r="H7" s="59">
        <v>1.6601119090000001</v>
      </c>
      <c r="I7" s="41">
        <v>0</v>
      </c>
      <c r="J7" s="59">
        <v>2.1427415249999999</v>
      </c>
      <c r="K7" s="41">
        <v>0</v>
      </c>
      <c r="L7" s="59">
        <v>1.5672619240000001</v>
      </c>
      <c r="M7" s="41">
        <v>0</v>
      </c>
      <c r="N7" s="59">
        <v>1.687214907</v>
      </c>
      <c r="O7" s="41">
        <v>0</v>
      </c>
      <c r="P7" s="59">
        <v>1.540661646</v>
      </c>
      <c r="Q7" s="41">
        <v>0</v>
      </c>
    </row>
    <row r="8" spans="1:17" x14ac:dyDescent="0.25">
      <c r="A8" s="73" t="s">
        <v>198</v>
      </c>
      <c r="B8" s="59">
        <v>1.6285186359999999</v>
      </c>
      <c r="C8" s="41">
        <v>0</v>
      </c>
      <c r="D8" s="59">
        <v>1.9723337160000001</v>
      </c>
      <c r="E8" s="41">
        <v>0</v>
      </c>
      <c r="F8" s="59">
        <v>1.4150444529999999</v>
      </c>
      <c r="G8" s="41">
        <v>0</v>
      </c>
      <c r="H8" s="59">
        <v>1.536494845</v>
      </c>
      <c r="I8" s="41">
        <v>0</v>
      </c>
      <c r="J8" s="59">
        <v>2.0819768019999998</v>
      </c>
      <c r="K8" s="41">
        <v>0</v>
      </c>
      <c r="L8" s="59">
        <v>1.471995564</v>
      </c>
      <c r="M8" s="41">
        <v>0</v>
      </c>
      <c r="N8" s="59">
        <v>1.5526560789999999</v>
      </c>
      <c r="O8" s="41">
        <v>0</v>
      </c>
      <c r="P8" s="59">
        <v>1.3603152890000001</v>
      </c>
      <c r="Q8" s="41">
        <v>0</v>
      </c>
    </row>
    <row r="9" spans="1:17" x14ac:dyDescent="0.25">
      <c r="A9" s="73" t="s">
        <v>199</v>
      </c>
      <c r="B9" s="59">
        <v>0.93262113800000002</v>
      </c>
      <c r="C9" s="41">
        <v>0</v>
      </c>
      <c r="D9" s="59">
        <v>1.1724606390000001</v>
      </c>
      <c r="E9" s="41">
        <v>0</v>
      </c>
      <c r="F9" s="59">
        <v>0.84753287700000002</v>
      </c>
      <c r="G9" s="41">
        <v>0</v>
      </c>
      <c r="H9" s="59">
        <v>0.88368209399999997</v>
      </c>
      <c r="I9" s="41">
        <v>0</v>
      </c>
      <c r="J9" s="59">
        <v>1.314331038</v>
      </c>
      <c r="K9" s="41">
        <v>0</v>
      </c>
      <c r="L9" s="59">
        <v>0.87442496400000003</v>
      </c>
      <c r="M9" s="41">
        <v>0</v>
      </c>
      <c r="N9" s="59">
        <v>0.88025264999999997</v>
      </c>
      <c r="O9" s="41">
        <v>0</v>
      </c>
      <c r="P9" s="59">
        <v>0.55306247799999997</v>
      </c>
      <c r="Q9" s="41">
        <v>0</v>
      </c>
    </row>
    <row r="10" spans="1:17" x14ac:dyDescent="0.25">
      <c r="A10" s="29"/>
      <c r="B10" s="8">
        <f>GetColorCountSynCondInt($B$2:$Q$9,A10)</f>
        <v>51</v>
      </c>
      <c r="C10" s="8"/>
      <c r="D10" s="8"/>
      <c r="E10" s="8"/>
      <c r="F10" s="8"/>
      <c r="G10" s="8"/>
      <c r="H10" s="8"/>
      <c r="I10" s="8"/>
      <c r="J10" s="8"/>
      <c r="K10" s="8"/>
      <c r="L10" s="8"/>
      <c r="M10" s="8"/>
      <c r="N10" s="8"/>
      <c r="O10" s="8"/>
      <c r="P10" s="8"/>
      <c r="Q10" s="8"/>
    </row>
    <row r="11" spans="1:17" x14ac:dyDescent="0.25">
      <c r="A11" s="31"/>
      <c r="B11" s="8">
        <f>GetColorCountSynCondInt($B$2:$Q$9,A11)</f>
        <v>0</v>
      </c>
      <c r="C11" s="8"/>
      <c r="D11" s="8"/>
      <c r="E11" s="8"/>
      <c r="F11" s="8"/>
      <c r="G11" s="8"/>
      <c r="H11" s="8"/>
      <c r="I11" s="8"/>
      <c r="J11" s="8"/>
      <c r="K11" s="8"/>
      <c r="L11" s="8"/>
      <c r="M11" s="8"/>
      <c r="N11" s="8"/>
      <c r="O11" s="8"/>
      <c r="P11" s="8"/>
      <c r="Q11" s="8"/>
    </row>
    <row r="12" spans="1:17" x14ac:dyDescent="0.25">
      <c r="A12" s="30"/>
      <c r="B12" s="8">
        <f>GetColorCountSynCondInt($B$2:$Q$9,A12)</f>
        <v>0</v>
      </c>
      <c r="C12" s="8"/>
      <c r="D12" s="8"/>
      <c r="E12" s="8"/>
      <c r="F12" s="8"/>
      <c r="G12" s="8"/>
      <c r="H12" s="8"/>
      <c r="I12" s="8"/>
      <c r="J12" s="8"/>
      <c r="K12" s="8"/>
      <c r="L12" s="8"/>
      <c r="M12" s="8"/>
      <c r="N12" s="8"/>
      <c r="O12" s="8"/>
      <c r="P12" s="8"/>
      <c r="Q12" s="8"/>
    </row>
    <row r="13" spans="1:17" x14ac:dyDescent="0.25">
      <c r="A13" s="40"/>
      <c r="B13" s="8">
        <f>GetColorCountSynCondInt($B$2:$Q$9,A13)</f>
        <v>51</v>
      </c>
      <c r="C13" s="8"/>
      <c r="D13" s="8"/>
      <c r="E13" s="8"/>
      <c r="F13" s="8"/>
      <c r="G13" s="8"/>
      <c r="H13" s="8"/>
      <c r="I13" s="8"/>
      <c r="J13" s="8"/>
      <c r="K13" s="8"/>
      <c r="L13" s="8"/>
      <c r="M13" s="8"/>
      <c r="N13" s="8"/>
      <c r="O13" s="8"/>
      <c r="P13" s="8"/>
      <c r="Q13" s="8"/>
    </row>
    <row r="14" spans="1:17" x14ac:dyDescent="0.25">
      <c r="A14" s="70"/>
      <c r="B14" s="8">
        <f>GetColorCountSynCondInt($B$2:$Q$9,A14)</f>
        <v>0</v>
      </c>
      <c r="C14" s="8"/>
      <c r="D14" s="8"/>
      <c r="E14" s="8"/>
      <c r="F14" s="8"/>
      <c r="G14" s="8"/>
      <c r="H14" s="8"/>
      <c r="I14" s="8"/>
      <c r="J14" s="8"/>
      <c r="K14" s="8"/>
      <c r="L14" s="8"/>
      <c r="M14" s="8"/>
      <c r="N14" s="8"/>
      <c r="O14" s="8"/>
      <c r="P14" s="8"/>
      <c r="Q14" s="8"/>
    </row>
  </sheetData>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8E7E4-2A0F-4BB7-ACDF-5CD8227056E0}">
  <dimension ref="A1:Q9"/>
  <sheetViews>
    <sheetView workbookViewId="0"/>
  </sheetViews>
  <sheetFormatPr defaultRowHeight="15" x14ac:dyDescent="0.25"/>
  <cols>
    <col min="1" max="1" width="16.28515625" style="8" bestFit="1" customWidth="1"/>
    <col min="2" max="2" width="22.28515625" style="8" bestFit="1" customWidth="1"/>
    <col min="3" max="3" width="19.85546875" style="8" bestFit="1" customWidth="1"/>
    <col min="4" max="4" width="17.85546875" style="8" bestFit="1" customWidth="1"/>
    <col min="5" max="5" width="15.42578125" style="8" bestFit="1" customWidth="1"/>
    <col min="6" max="6" width="19.140625" style="8" bestFit="1" customWidth="1"/>
    <col min="7" max="7" width="16.7109375" style="8" bestFit="1" customWidth="1"/>
    <col min="8" max="8" width="22" style="8" bestFit="1" customWidth="1"/>
    <col min="9" max="9" width="19.5703125" style="8" bestFit="1" customWidth="1"/>
    <col min="10" max="10" width="14.42578125" style="8" bestFit="1" customWidth="1"/>
    <col min="11" max="11" width="12" style="8" bestFit="1" customWidth="1"/>
    <col min="12" max="12" width="21.42578125" style="8" bestFit="1" customWidth="1"/>
    <col min="13" max="13" width="19" style="8" bestFit="1" customWidth="1"/>
    <col min="14" max="14" width="22.85546875" style="8" bestFit="1" customWidth="1"/>
    <col min="15" max="15" width="20.42578125" style="8" bestFit="1" customWidth="1"/>
    <col min="16" max="16" width="20.85546875" style="8" bestFit="1" customWidth="1"/>
    <col min="17" max="17" width="18.5703125" style="8" bestFit="1" customWidth="1"/>
    <col min="18" max="16384" width="9.140625" style="8"/>
  </cols>
  <sheetData>
    <row r="1" spans="1:17" ht="30" x14ac:dyDescent="0.25">
      <c r="A1" s="77" t="s">
        <v>333</v>
      </c>
      <c r="B1" s="78" t="s">
        <v>157</v>
      </c>
      <c r="C1" s="78" t="s">
        <v>164</v>
      </c>
      <c r="D1" s="78" t="s">
        <v>158</v>
      </c>
      <c r="E1" s="78" t="s">
        <v>165</v>
      </c>
      <c r="F1" s="78" t="s">
        <v>159</v>
      </c>
      <c r="G1" s="78" t="s">
        <v>166</v>
      </c>
      <c r="H1" s="78" t="s">
        <v>160</v>
      </c>
      <c r="I1" s="78" t="s">
        <v>167</v>
      </c>
      <c r="J1" s="78" t="s">
        <v>161</v>
      </c>
      <c r="K1" s="78" t="s">
        <v>168</v>
      </c>
      <c r="L1" s="78" t="s">
        <v>189</v>
      </c>
      <c r="M1" s="78" t="s">
        <v>190</v>
      </c>
      <c r="N1" s="78" t="s">
        <v>162</v>
      </c>
      <c r="O1" s="78" t="s">
        <v>169</v>
      </c>
      <c r="P1" s="78" t="s">
        <v>163</v>
      </c>
      <c r="Q1" s="78" t="s">
        <v>170</v>
      </c>
    </row>
    <row r="2" spans="1:17" x14ac:dyDescent="0.25">
      <c r="A2" s="78" t="s">
        <v>188</v>
      </c>
      <c r="B2" s="76">
        <v>1.3</v>
      </c>
      <c r="C2" s="76">
        <v>0</v>
      </c>
      <c r="D2" s="76">
        <v>0.55000000000000004</v>
      </c>
      <c r="E2" s="76">
        <v>0</v>
      </c>
      <c r="F2" s="76">
        <v>1</v>
      </c>
      <c r="G2" s="76">
        <v>0</v>
      </c>
      <c r="H2" s="25">
        <v>0</v>
      </c>
      <c r="I2" s="25">
        <v>0</v>
      </c>
      <c r="J2" s="25">
        <v>0</v>
      </c>
      <c r="K2" s="25">
        <v>0</v>
      </c>
      <c r="L2" s="25">
        <v>0</v>
      </c>
      <c r="M2" s="25">
        <v>0</v>
      </c>
      <c r="N2" s="25">
        <v>0</v>
      </c>
      <c r="O2" s="25">
        <v>0</v>
      </c>
      <c r="P2" s="76">
        <v>1.45</v>
      </c>
      <c r="Q2" s="76">
        <v>0</v>
      </c>
    </row>
    <row r="3" spans="1:17" x14ac:dyDescent="0.25">
      <c r="A3" s="78" t="s">
        <v>29</v>
      </c>
      <c r="B3" s="25">
        <v>0</v>
      </c>
      <c r="C3" s="25">
        <v>0</v>
      </c>
      <c r="D3" s="25">
        <v>0</v>
      </c>
      <c r="E3" s="25">
        <v>0</v>
      </c>
      <c r="F3" s="25">
        <v>0</v>
      </c>
      <c r="G3" s="25">
        <v>0</v>
      </c>
      <c r="H3" s="25">
        <v>0</v>
      </c>
      <c r="I3" s="25">
        <v>0</v>
      </c>
      <c r="J3" s="25">
        <v>0</v>
      </c>
      <c r="K3" s="25">
        <v>0</v>
      </c>
      <c r="L3" s="25">
        <v>0</v>
      </c>
      <c r="M3" s="25">
        <v>0</v>
      </c>
      <c r="N3" s="25">
        <v>0</v>
      </c>
      <c r="O3" s="25">
        <v>0</v>
      </c>
      <c r="P3" s="76">
        <v>1.45</v>
      </c>
      <c r="Q3" s="76">
        <v>0</v>
      </c>
    </row>
    <row r="4" spans="1:17" x14ac:dyDescent="0.25">
      <c r="A4" s="78" t="s">
        <v>32</v>
      </c>
      <c r="B4" s="76">
        <v>1.3</v>
      </c>
      <c r="C4" s="76">
        <v>0</v>
      </c>
      <c r="D4" s="76">
        <v>0.55000000000000004</v>
      </c>
      <c r="E4" s="76">
        <v>0</v>
      </c>
      <c r="F4" s="76">
        <v>1</v>
      </c>
      <c r="G4" s="76">
        <v>0</v>
      </c>
      <c r="H4" s="76">
        <v>1.3</v>
      </c>
      <c r="I4" s="76">
        <v>0</v>
      </c>
      <c r="J4" s="60">
        <v>0</v>
      </c>
      <c r="K4" s="60">
        <v>0</v>
      </c>
      <c r="L4" s="76">
        <v>0.75</v>
      </c>
      <c r="M4" s="76">
        <v>0</v>
      </c>
      <c r="N4" s="76">
        <v>0.75</v>
      </c>
      <c r="O4" s="76">
        <v>0</v>
      </c>
      <c r="P4" s="76">
        <v>1.45</v>
      </c>
      <c r="Q4" s="76">
        <v>0</v>
      </c>
    </row>
    <row r="5" spans="1:17" x14ac:dyDescent="0.25">
      <c r="A5" s="78" t="s">
        <v>34</v>
      </c>
      <c r="B5" s="76">
        <v>1.3</v>
      </c>
      <c r="C5" s="76">
        <v>0</v>
      </c>
      <c r="D5" s="76">
        <v>0.55000000000000004</v>
      </c>
      <c r="E5" s="76">
        <v>0</v>
      </c>
      <c r="F5" s="76">
        <v>1</v>
      </c>
      <c r="G5" s="76">
        <v>0</v>
      </c>
      <c r="H5" s="76">
        <v>1.3</v>
      </c>
      <c r="I5" s="76">
        <v>0</v>
      </c>
      <c r="J5" s="60">
        <v>0</v>
      </c>
      <c r="K5" s="60">
        <v>0</v>
      </c>
      <c r="L5" s="76">
        <v>0.75</v>
      </c>
      <c r="M5" s="76">
        <v>0</v>
      </c>
      <c r="N5" s="76">
        <v>0.75</v>
      </c>
      <c r="O5" s="76">
        <v>0</v>
      </c>
      <c r="P5" s="76">
        <v>1.45</v>
      </c>
      <c r="Q5" s="76">
        <v>0</v>
      </c>
    </row>
    <row r="6" spans="1:17" x14ac:dyDescent="0.25">
      <c r="A6" s="78" t="s">
        <v>36</v>
      </c>
      <c r="B6" s="76">
        <v>1.3</v>
      </c>
      <c r="C6" s="76">
        <v>0</v>
      </c>
      <c r="D6" s="76">
        <v>0.55000000000000004</v>
      </c>
      <c r="E6" s="76">
        <v>0</v>
      </c>
      <c r="F6" s="76">
        <v>1</v>
      </c>
      <c r="G6" s="76">
        <v>0</v>
      </c>
      <c r="H6" s="76">
        <v>1.3</v>
      </c>
      <c r="I6" s="76">
        <v>0</v>
      </c>
      <c r="J6" s="76">
        <v>0.65</v>
      </c>
      <c r="K6" s="76">
        <v>0</v>
      </c>
      <c r="L6" s="76">
        <v>0.75</v>
      </c>
      <c r="M6" s="76">
        <v>0</v>
      </c>
      <c r="N6" s="76">
        <v>1</v>
      </c>
      <c r="O6" s="76">
        <v>0</v>
      </c>
      <c r="P6" s="76">
        <v>1.45</v>
      </c>
      <c r="Q6" s="76">
        <v>0</v>
      </c>
    </row>
    <row r="7" spans="1:17" x14ac:dyDescent="0.25">
      <c r="A7" s="78" t="s">
        <v>37</v>
      </c>
      <c r="B7" s="76">
        <v>1.3</v>
      </c>
      <c r="C7" s="76">
        <v>0</v>
      </c>
      <c r="D7" s="76">
        <v>0.55000000000000004</v>
      </c>
      <c r="E7" s="76">
        <v>0</v>
      </c>
      <c r="F7" s="76">
        <v>1</v>
      </c>
      <c r="G7" s="76">
        <v>0</v>
      </c>
      <c r="H7" s="76">
        <v>1.3</v>
      </c>
      <c r="I7" s="76">
        <v>0</v>
      </c>
      <c r="J7" s="76">
        <v>0.65</v>
      </c>
      <c r="K7" s="76">
        <v>0</v>
      </c>
      <c r="L7" s="76">
        <v>0.75</v>
      </c>
      <c r="M7" s="76">
        <v>0</v>
      </c>
      <c r="N7" s="76">
        <v>0.75</v>
      </c>
      <c r="O7" s="76">
        <v>0</v>
      </c>
      <c r="P7" s="76">
        <v>1.45</v>
      </c>
      <c r="Q7" s="76">
        <v>0</v>
      </c>
    </row>
    <row r="8" spans="1:17" x14ac:dyDescent="0.25">
      <c r="A8" s="78" t="s">
        <v>40</v>
      </c>
      <c r="B8" s="76">
        <v>1.3</v>
      </c>
      <c r="C8" s="76">
        <v>0</v>
      </c>
      <c r="D8" s="76">
        <v>0.55000000000000004</v>
      </c>
      <c r="E8" s="76">
        <v>0</v>
      </c>
      <c r="F8" s="76">
        <v>1</v>
      </c>
      <c r="G8" s="76">
        <v>0</v>
      </c>
      <c r="H8" s="76">
        <v>1.3</v>
      </c>
      <c r="I8" s="76">
        <v>0</v>
      </c>
      <c r="J8" s="76">
        <v>0.65</v>
      </c>
      <c r="K8" s="76">
        <v>0</v>
      </c>
      <c r="L8" s="76">
        <v>0.75</v>
      </c>
      <c r="M8" s="76">
        <v>0</v>
      </c>
      <c r="N8" s="76">
        <v>0.75</v>
      </c>
      <c r="O8" s="76">
        <v>0</v>
      </c>
      <c r="P8" s="76">
        <v>1.45</v>
      </c>
      <c r="Q8" s="76">
        <v>0</v>
      </c>
    </row>
    <row r="9" spans="1:17" x14ac:dyDescent="0.25">
      <c r="A9" s="78" t="s">
        <v>25</v>
      </c>
      <c r="B9" s="76">
        <v>0.7</v>
      </c>
      <c r="C9" s="76">
        <v>0</v>
      </c>
      <c r="D9" s="76">
        <v>1.45</v>
      </c>
      <c r="E9" s="76">
        <v>0</v>
      </c>
      <c r="F9" s="76">
        <v>1</v>
      </c>
      <c r="G9" s="76">
        <v>0</v>
      </c>
      <c r="H9" s="76">
        <v>0.7</v>
      </c>
      <c r="I9" s="76">
        <v>0</v>
      </c>
      <c r="J9" s="76">
        <v>1.35</v>
      </c>
      <c r="K9" s="76">
        <v>0</v>
      </c>
      <c r="L9" s="76">
        <v>1.25</v>
      </c>
      <c r="M9" s="76">
        <v>0</v>
      </c>
      <c r="N9" s="76">
        <v>1.25</v>
      </c>
      <c r="O9" s="76">
        <v>0</v>
      </c>
      <c r="P9" s="76">
        <v>0.55000000000000004</v>
      </c>
      <c r="Q9" s="76">
        <v>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515A92-340E-4064-8A58-4E37F61AB2D7}">
  <sheetPr codeName="Sheet17"/>
  <dimension ref="A1:Q14"/>
  <sheetViews>
    <sheetView workbookViewId="0">
      <selection sqref="A1:Q9"/>
    </sheetView>
  </sheetViews>
  <sheetFormatPr defaultColWidth="8.85546875" defaultRowHeight="15" x14ac:dyDescent="0.25"/>
  <cols>
    <col min="1" max="1" width="17.7109375" bestFit="1"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 min="18" max="18" width="16.5703125" customWidth="1"/>
    <col min="19" max="19" width="14.28515625" customWidth="1"/>
    <col min="20" max="20" width="20.7109375" customWidth="1"/>
    <col min="21" max="21" width="18.42578125" customWidth="1"/>
  </cols>
  <sheetData>
    <row r="1" spans="1:17" x14ac:dyDescent="0.25">
      <c r="A1" s="72" t="s">
        <v>216</v>
      </c>
      <c r="B1" s="72" t="s">
        <v>225</v>
      </c>
      <c r="C1" s="72" t="s">
        <v>226</v>
      </c>
      <c r="D1" s="72" t="s">
        <v>227</v>
      </c>
      <c r="E1" s="72" t="s">
        <v>228</v>
      </c>
      <c r="F1" s="72" t="s">
        <v>229</v>
      </c>
      <c r="G1" s="72" t="s">
        <v>230</v>
      </c>
      <c r="H1" s="72" t="s">
        <v>231</v>
      </c>
      <c r="I1" s="72" t="s">
        <v>232</v>
      </c>
      <c r="J1" s="72" t="s">
        <v>233</v>
      </c>
      <c r="K1" s="72" t="s">
        <v>234</v>
      </c>
      <c r="L1" s="72" t="s">
        <v>235</v>
      </c>
      <c r="M1" s="72" t="s">
        <v>236</v>
      </c>
      <c r="N1" s="72" t="s">
        <v>237</v>
      </c>
      <c r="O1" s="72" t="s">
        <v>238</v>
      </c>
      <c r="P1" s="72" t="s">
        <v>239</v>
      </c>
      <c r="Q1" s="72" t="s">
        <v>240</v>
      </c>
    </row>
    <row r="2" spans="1:17" x14ac:dyDescent="0.25">
      <c r="A2" s="72" t="s">
        <v>217</v>
      </c>
      <c r="B2" s="59">
        <v>0.21783904000000001</v>
      </c>
      <c r="C2" s="41">
        <v>0</v>
      </c>
      <c r="D2" s="59">
        <v>0.23190097200000001</v>
      </c>
      <c r="E2" s="41">
        <v>0</v>
      </c>
      <c r="F2" s="59">
        <v>0.20781037599999999</v>
      </c>
      <c r="G2" s="41">
        <v>0</v>
      </c>
      <c r="H2" s="25">
        <v>0</v>
      </c>
      <c r="I2" s="25">
        <v>0</v>
      </c>
      <c r="J2" s="25">
        <v>0</v>
      </c>
      <c r="K2" s="25">
        <v>0</v>
      </c>
      <c r="L2" s="25">
        <v>0</v>
      </c>
      <c r="M2" s="25">
        <v>0</v>
      </c>
      <c r="N2" s="25">
        <v>0</v>
      </c>
      <c r="O2" s="25">
        <v>0</v>
      </c>
      <c r="P2" s="59">
        <v>0.193598093</v>
      </c>
      <c r="Q2" s="41">
        <v>0</v>
      </c>
    </row>
    <row r="3" spans="1:17" x14ac:dyDescent="0.25">
      <c r="A3" s="72" t="s">
        <v>218</v>
      </c>
      <c r="B3" s="25">
        <v>0</v>
      </c>
      <c r="C3" s="25">
        <v>0</v>
      </c>
      <c r="D3" s="25">
        <v>0</v>
      </c>
      <c r="E3" s="25">
        <v>0</v>
      </c>
      <c r="F3" s="25">
        <v>0</v>
      </c>
      <c r="G3" s="25">
        <v>0</v>
      </c>
      <c r="H3" s="25">
        <v>0</v>
      </c>
      <c r="I3" s="25">
        <v>0</v>
      </c>
      <c r="J3" s="25">
        <v>0</v>
      </c>
      <c r="K3" s="25">
        <v>0</v>
      </c>
      <c r="L3" s="25">
        <v>0</v>
      </c>
      <c r="M3" s="25">
        <v>0</v>
      </c>
      <c r="N3" s="25">
        <v>0</v>
      </c>
      <c r="O3" s="25">
        <v>0</v>
      </c>
      <c r="P3" s="59">
        <v>0.236806614</v>
      </c>
      <c r="Q3" s="41">
        <v>0</v>
      </c>
    </row>
    <row r="4" spans="1:17" x14ac:dyDescent="0.25">
      <c r="A4" s="72" t="s">
        <v>219</v>
      </c>
      <c r="B4" s="59">
        <v>0.27287855500000002</v>
      </c>
      <c r="C4" s="41">
        <v>0</v>
      </c>
      <c r="D4" s="59">
        <v>0.26862501700000002</v>
      </c>
      <c r="E4" s="41">
        <v>0</v>
      </c>
      <c r="F4" s="59">
        <v>0.235943711</v>
      </c>
      <c r="G4" s="41">
        <v>0</v>
      </c>
      <c r="H4" s="59">
        <v>0.25062353300000001</v>
      </c>
      <c r="I4" s="41">
        <v>0</v>
      </c>
      <c r="J4" s="60">
        <v>0</v>
      </c>
      <c r="K4" s="60">
        <v>0</v>
      </c>
      <c r="L4" s="59">
        <v>0.245404293</v>
      </c>
      <c r="M4" s="41">
        <v>0</v>
      </c>
      <c r="N4" s="59">
        <v>0.24148517999999999</v>
      </c>
      <c r="O4" s="41">
        <v>0</v>
      </c>
      <c r="P4" s="59">
        <v>0.22767173900000001</v>
      </c>
      <c r="Q4" s="41">
        <v>0</v>
      </c>
    </row>
    <row r="5" spans="1:17" x14ac:dyDescent="0.25">
      <c r="A5" s="72" t="s">
        <v>220</v>
      </c>
      <c r="B5" s="59">
        <v>0.17647010799999999</v>
      </c>
      <c r="C5" s="41">
        <v>0</v>
      </c>
      <c r="D5" s="59">
        <v>0.19558921500000001</v>
      </c>
      <c r="E5" s="41">
        <v>0</v>
      </c>
      <c r="F5" s="59">
        <v>0.118630661</v>
      </c>
      <c r="G5" s="41">
        <v>0</v>
      </c>
      <c r="H5" s="59">
        <v>0.18001498799999999</v>
      </c>
      <c r="I5" s="41">
        <v>0</v>
      </c>
      <c r="J5" s="60">
        <v>0</v>
      </c>
      <c r="K5" s="60">
        <v>0</v>
      </c>
      <c r="L5" s="59">
        <v>0.17499646699999999</v>
      </c>
      <c r="M5" s="41">
        <v>0</v>
      </c>
      <c r="N5" s="59">
        <v>0.16844580000000001</v>
      </c>
      <c r="O5" s="41">
        <v>0</v>
      </c>
      <c r="P5" s="59">
        <v>0.14589812099999999</v>
      </c>
      <c r="Q5" s="41">
        <v>0</v>
      </c>
    </row>
    <row r="6" spans="1:17" x14ac:dyDescent="0.25">
      <c r="A6" s="72" t="s">
        <v>221</v>
      </c>
      <c r="B6" s="59">
        <v>0.23922448199999999</v>
      </c>
      <c r="C6" s="41">
        <v>0</v>
      </c>
      <c r="D6" s="59">
        <v>0.252137216</v>
      </c>
      <c r="E6" s="41">
        <v>0</v>
      </c>
      <c r="F6" s="59">
        <v>0.22108565299999999</v>
      </c>
      <c r="G6" s="41">
        <v>0</v>
      </c>
      <c r="H6" s="59">
        <v>0.24688655300000001</v>
      </c>
      <c r="I6" s="41">
        <v>0</v>
      </c>
      <c r="J6" s="59">
        <v>0.22531772899999999</v>
      </c>
      <c r="K6" s="41">
        <v>0</v>
      </c>
      <c r="L6" s="59">
        <v>0.23618508999999999</v>
      </c>
      <c r="M6" s="41">
        <v>0</v>
      </c>
      <c r="N6" s="59">
        <v>0.23295606099999999</v>
      </c>
      <c r="O6" s="41">
        <v>0</v>
      </c>
      <c r="P6" s="59">
        <v>0.213196513</v>
      </c>
      <c r="Q6" s="41">
        <v>0</v>
      </c>
    </row>
    <row r="7" spans="1:17" x14ac:dyDescent="0.25">
      <c r="A7" s="72" t="s">
        <v>222</v>
      </c>
      <c r="B7" s="59">
        <v>0.24466310499999999</v>
      </c>
      <c r="C7" s="41">
        <v>0</v>
      </c>
      <c r="D7" s="59">
        <v>0.25520151499999999</v>
      </c>
      <c r="E7" s="41">
        <v>0</v>
      </c>
      <c r="F7" s="59">
        <v>0.22967726199999999</v>
      </c>
      <c r="G7" s="41">
        <v>0</v>
      </c>
      <c r="H7" s="59">
        <v>0.24609620700000001</v>
      </c>
      <c r="I7" s="41">
        <v>0</v>
      </c>
      <c r="J7" s="59">
        <v>0.23207103600000001</v>
      </c>
      <c r="K7" s="41">
        <v>0</v>
      </c>
      <c r="L7" s="59">
        <v>0.23909628999999999</v>
      </c>
      <c r="M7" s="41">
        <v>0</v>
      </c>
      <c r="N7" s="59">
        <v>0.23634672400000001</v>
      </c>
      <c r="O7" s="41">
        <v>0</v>
      </c>
      <c r="P7" s="59">
        <v>0.219560529</v>
      </c>
      <c r="Q7" s="41">
        <v>0</v>
      </c>
    </row>
    <row r="8" spans="1:17" x14ac:dyDescent="0.25">
      <c r="A8" s="72" t="s">
        <v>223</v>
      </c>
      <c r="B8" s="59">
        <v>0.23537917899999999</v>
      </c>
      <c r="C8" s="41">
        <v>0</v>
      </c>
      <c r="D8" s="59">
        <v>0.24954689599999999</v>
      </c>
      <c r="E8" s="41">
        <v>0</v>
      </c>
      <c r="F8" s="59">
        <v>0.22096494999999999</v>
      </c>
      <c r="G8" s="41">
        <v>0</v>
      </c>
      <c r="H8" s="59">
        <v>0.24057526100000001</v>
      </c>
      <c r="I8" s="41">
        <v>0</v>
      </c>
      <c r="J8" s="59">
        <v>0.220202643</v>
      </c>
      <c r="K8" s="41">
        <v>0</v>
      </c>
      <c r="L8" s="59">
        <v>0.23163082400000001</v>
      </c>
      <c r="M8" s="41">
        <v>0</v>
      </c>
      <c r="N8" s="59">
        <v>0.22845699</v>
      </c>
      <c r="O8" s="41">
        <v>0</v>
      </c>
      <c r="P8" s="59">
        <v>0.21624439400000001</v>
      </c>
      <c r="Q8" s="41">
        <v>0</v>
      </c>
    </row>
    <row r="9" spans="1:17" x14ac:dyDescent="0.25">
      <c r="A9" s="72" t="s">
        <v>224</v>
      </c>
      <c r="B9" s="59">
        <v>0.19724061100000001</v>
      </c>
      <c r="C9" s="41">
        <v>0</v>
      </c>
      <c r="D9" s="59">
        <v>0.221350678</v>
      </c>
      <c r="E9" s="41">
        <v>0</v>
      </c>
      <c r="F9" s="59">
        <v>0.204890451</v>
      </c>
      <c r="G9" s="41">
        <v>0</v>
      </c>
      <c r="H9" s="59">
        <v>0.20360951799999999</v>
      </c>
      <c r="I9" s="41">
        <v>0</v>
      </c>
      <c r="J9" s="59">
        <v>0.191829256</v>
      </c>
      <c r="K9" s="41">
        <v>0</v>
      </c>
      <c r="L9" s="59">
        <v>0.199701771</v>
      </c>
      <c r="M9" s="41">
        <v>0</v>
      </c>
      <c r="N9" s="59">
        <v>0.19621872300000001</v>
      </c>
      <c r="O9" s="41">
        <v>0</v>
      </c>
      <c r="P9" s="59">
        <v>0.192566137</v>
      </c>
      <c r="Q9" s="41">
        <v>0</v>
      </c>
    </row>
    <row r="10" spans="1:17" x14ac:dyDescent="0.25">
      <c r="A10" s="29"/>
      <c r="B10" s="8">
        <f>GetColorCountSynResourceInt($B$2:$Q$9,A10)</f>
        <v>51</v>
      </c>
      <c r="C10" s="8"/>
      <c r="D10" s="8"/>
      <c r="E10" s="8"/>
      <c r="F10" s="8"/>
      <c r="G10" s="8"/>
      <c r="H10" s="8"/>
      <c r="I10" s="8"/>
      <c r="J10" s="8"/>
      <c r="K10" s="8"/>
      <c r="L10" s="8"/>
      <c r="M10" s="8"/>
      <c r="N10" s="8"/>
      <c r="O10" s="8"/>
      <c r="P10" s="8"/>
      <c r="Q10" s="8"/>
    </row>
    <row r="11" spans="1:17" x14ac:dyDescent="0.25">
      <c r="A11" s="31"/>
      <c r="B11" s="8">
        <f>GetColorCountSynResourceInt($B$2:$Q$9,A11)</f>
        <v>0</v>
      </c>
      <c r="C11" s="8"/>
      <c r="D11" s="8"/>
      <c r="E11" s="8"/>
      <c r="F11" s="8"/>
      <c r="G11" s="8"/>
      <c r="H11" s="8"/>
      <c r="I11" s="8"/>
      <c r="J11" s="8"/>
      <c r="K11" s="8"/>
      <c r="L11" s="8"/>
      <c r="M11" s="8"/>
      <c r="N11" s="8"/>
      <c r="O11" s="8"/>
      <c r="P11" s="8"/>
      <c r="Q11" s="8"/>
    </row>
    <row r="12" spans="1:17" x14ac:dyDescent="0.25">
      <c r="A12" s="30"/>
      <c r="B12" s="8">
        <f>GetColorCountSynResourceInt($B$2:$Q$9,A12)</f>
        <v>0</v>
      </c>
      <c r="C12" s="8"/>
      <c r="D12" s="8"/>
      <c r="E12" s="8"/>
      <c r="F12" s="8"/>
      <c r="G12" s="8"/>
      <c r="H12" s="8"/>
      <c r="I12" s="8"/>
      <c r="J12" s="8"/>
      <c r="K12" s="8"/>
      <c r="L12" s="8"/>
      <c r="M12" s="8"/>
      <c r="N12" s="8"/>
      <c r="O12" s="8"/>
      <c r="P12" s="8"/>
      <c r="Q12" s="8"/>
    </row>
    <row r="13" spans="1:17" x14ac:dyDescent="0.25">
      <c r="A13" s="40"/>
      <c r="B13" s="8">
        <f>GetColorCountSynResourceInt($B$2:$Q$9,A13)</f>
        <v>51</v>
      </c>
      <c r="C13" s="8"/>
      <c r="D13" s="8"/>
      <c r="E13" s="8"/>
      <c r="F13" s="8"/>
      <c r="G13" s="8"/>
      <c r="H13" s="8"/>
      <c r="I13" s="8"/>
      <c r="J13" s="8"/>
      <c r="K13" s="8"/>
      <c r="L13" s="8"/>
      <c r="M13" s="8"/>
      <c r="N13" s="8"/>
      <c r="O13" s="8"/>
      <c r="P13" s="8"/>
      <c r="Q13" s="8"/>
    </row>
    <row r="14" spans="1:17" x14ac:dyDescent="0.25">
      <c r="A14" s="70"/>
      <c r="B14" s="8">
        <f>GetColorCountSynResourceInt($B$2:$Q$9,A14)</f>
        <v>0</v>
      </c>
      <c r="C14" s="8"/>
      <c r="D14" s="8"/>
      <c r="E14" s="8"/>
      <c r="F14" s="8"/>
      <c r="G14" s="8"/>
      <c r="H14" s="8"/>
      <c r="I14" s="8"/>
      <c r="J14" s="8"/>
      <c r="K14" s="8"/>
      <c r="L14" s="8"/>
      <c r="M14" s="8"/>
      <c r="N14" s="8"/>
      <c r="O14" s="8"/>
      <c r="P14" s="8"/>
      <c r="Q14" s="8"/>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AE81C-13B5-4EDF-AF34-7D7A4A570723}">
  <dimension ref="A1:Q9"/>
  <sheetViews>
    <sheetView workbookViewId="0"/>
  </sheetViews>
  <sheetFormatPr defaultRowHeight="15" x14ac:dyDescent="0.25"/>
  <cols>
    <col min="1" max="1" width="15.7109375" bestFit="1" customWidth="1"/>
    <col min="2" max="2" width="22.28515625" bestFit="1" customWidth="1"/>
    <col min="3" max="3" width="19.85546875" bestFit="1" customWidth="1"/>
    <col min="4" max="4" width="17.85546875" bestFit="1" customWidth="1"/>
    <col min="5" max="5" width="15.42578125" bestFit="1" customWidth="1"/>
    <col min="6" max="6" width="19.140625" bestFit="1" customWidth="1"/>
    <col min="7" max="7" width="16.7109375" bestFit="1" customWidth="1"/>
    <col min="8" max="8" width="22" bestFit="1" customWidth="1"/>
    <col min="9" max="9" width="19.5703125" bestFit="1" customWidth="1"/>
    <col min="10" max="10" width="14.42578125" bestFit="1" customWidth="1"/>
    <col min="11" max="11" width="12" bestFit="1" customWidth="1"/>
    <col min="12" max="12" width="21.42578125" bestFit="1" customWidth="1"/>
    <col min="13" max="13" width="19" bestFit="1" customWidth="1"/>
    <col min="14" max="14" width="22.85546875" bestFit="1" customWidth="1"/>
    <col min="15" max="15" width="20.42578125" bestFit="1" customWidth="1"/>
    <col min="16" max="16" width="20.85546875" bestFit="1" customWidth="1"/>
    <col min="17" max="17" width="18.5703125" bestFit="1" customWidth="1"/>
  </cols>
  <sheetData>
    <row r="1" spans="1:17" x14ac:dyDescent="0.25">
      <c r="A1" s="78" t="s">
        <v>216</v>
      </c>
      <c r="B1" s="78" t="s">
        <v>157</v>
      </c>
      <c r="C1" s="78" t="s">
        <v>164</v>
      </c>
      <c r="D1" s="78" t="s">
        <v>158</v>
      </c>
      <c r="E1" s="78" t="s">
        <v>165</v>
      </c>
      <c r="F1" s="78" t="s">
        <v>159</v>
      </c>
      <c r="G1" s="78" t="s">
        <v>166</v>
      </c>
      <c r="H1" s="78" t="s">
        <v>160</v>
      </c>
      <c r="I1" s="78" t="s">
        <v>167</v>
      </c>
      <c r="J1" s="78" t="s">
        <v>161</v>
      </c>
      <c r="K1" s="78" t="s">
        <v>168</v>
      </c>
      <c r="L1" s="78" t="s">
        <v>189</v>
      </c>
      <c r="M1" s="78" t="s">
        <v>190</v>
      </c>
      <c r="N1" s="78" t="s">
        <v>162</v>
      </c>
      <c r="O1" s="78" t="s">
        <v>169</v>
      </c>
      <c r="P1" s="78" t="s">
        <v>163</v>
      </c>
      <c r="Q1" s="78" t="s">
        <v>170</v>
      </c>
    </row>
    <row r="2" spans="1:17" x14ac:dyDescent="0.25">
      <c r="A2" s="78" t="s">
        <v>188</v>
      </c>
      <c r="B2" s="76">
        <v>0.7</v>
      </c>
      <c r="C2" s="76">
        <v>0</v>
      </c>
      <c r="D2" s="76">
        <v>1.45</v>
      </c>
      <c r="E2" s="76">
        <v>0</v>
      </c>
      <c r="F2" s="76">
        <v>1</v>
      </c>
      <c r="G2" s="76">
        <v>0</v>
      </c>
      <c r="H2" s="25">
        <v>0</v>
      </c>
      <c r="I2" s="25">
        <v>0</v>
      </c>
      <c r="J2" s="25">
        <v>0</v>
      </c>
      <c r="K2" s="25">
        <v>0</v>
      </c>
      <c r="L2" s="25">
        <v>0</v>
      </c>
      <c r="M2" s="25">
        <v>0</v>
      </c>
      <c r="N2" s="25">
        <v>0</v>
      </c>
      <c r="O2" s="25">
        <v>0</v>
      </c>
      <c r="P2" s="76">
        <v>0.55000000000000004</v>
      </c>
      <c r="Q2" s="76">
        <v>0</v>
      </c>
    </row>
    <row r="3" spans="1:17" x14ac:dyDescent="0.25">
      <c r="A3" s="78" t="s">
        <v>29</v>
      </c>
      <c r="B3" s="25">
        <v>0</v>
      </c>
      <c r="C3" s="25">
        <v>0</v>
      </c>
      <c r="D3" s="25">
        <v>0</v>
      </c>
      <c r="E3" s="25">
        <v>0</v>
      </c>
      <c r="F3" s="25">
        <v>0</v>
      </c>
      <c r="G3" s="25">
        <v>0</v>
      </c>
      <c r="H3" s="25">
        <v>0</v>
      </c>
      <c r="I3" s="25">
        <v>0</v>
      </c>
      <c r="J3" s="25">
        <v>0</v>
      </c>
      <c r="K3" s="25">
        <v>0</v>
      </c>
      <c r="L3" s="25">
        <v>0</v>
      </c>
      <c r="M3" s="25">
        <v>0</v>
      </c>
      <c r="N3" s="25">
        <v>0</v>
      </c>
      <c r="O3" s="25">
        <v>0</v>
      </c>
      <c r="P3" s="76">
        <v>0.55000000000000004</v>
      </c>
      <c r="Q3" s="76">
        <v>0</v>
      </c>
    </row>
    <row r="4" spans="1:17" x14ac:dyDescent="0.25">
      <c r="A4" s="78" t="s">
        <v>32</v>
      </c>
      <c r="B4" s="76">
        <v>0.7</v>
      </c>
      <c r="C4" s="76">
        <v>0</v>
      </c>
      <c r="D4" s="76">
        <v>1.45</v>
      </c>
      <c r="E4" s="76">
        <v>0</v>
      </c>
      <c r="F4" s="76">
        <v>1</v>
      </c>
      <c r="G4" s="76">
        <v>0</v>
      </c>
      <c r="H4" s="76">
        <v>0.7</v>
      </c>
      <c r="I4" s="76">
        <v>0</v>
      </c>
      <c r="J4" s="60">
        <v>0</v>
      </c>
      <c r="K4" s="60">
        <v>0</v>
      </c>
      <c r="L4" s="76">
        <v>1.25</v>
      </c>
      <c r="M4" s="76">
        <v>0</v>
      </c>
      <c r="N4" s="76">
        <v>1.25</v>
      </c>
      <c r="O4" s="76">
        <v>0</v>
      </c>
      <c r="P4" s="76">
        <v>0.55000000000000004</v>
      </c>
      <c r="Q4" s="76">
        <v>0</v>
      </c>
    </row>
    <row r="5" spans="1:17" x14ac:dyDescent="0.25">
      <c r="A5" s="78" t="s">
        <v>34</v>
      </c>
      <c r="B5" s="76">
        <v>0.7</v>
      </c>
      <c r="C5" s="76">
        <v>0</v>
      </c>
      <c r="D5" s="76">
        <v>1.45</v>
      </c>
      <c r="E5" s="76">
        <v>0</v>
      </c>
      <c r="F5" s="76">
        <v>1</v>
      </c>
      <c r="G5" s="76">
        <v>0</v>
      </c>
      <c r="H5" s="76">
        <v>0.7</v>
      </c>
      <c r="I5" s="76">
        <v>0</v>
      </c>
      <c r="J5" s="60">
        <v>0</v>
      </c>
      <c r="K5" s="60">
        <v>0</v>
      </c>
      <c r="L5" s="76">
        <v>1.25</v>
      </c>
      <c r="M5" s="76">
        <v>0</v>
      </c>
      <c r="N5" s="76">
        <v>1.25</v>
      </c>
      <c r="O5" s="76">
        <v>0</v>
      </c>
      <c r="P5" s="76">
        <v>0.55000000000000004</v>
      </c>
      <c r="Q5" s="76">
        <v>0</v>
      </c>
    </row>
    <row r="6" spans="1:17" x14ac:dyDescent="0.25">
      <c r="A6" s="78" t="s">
        <v>36</v>
      </c>
      <c r="B6" s="76">
        <v>0.7</v>
      </c>
      <c r="C6" s="76">
        <v>0</v>
      </c>
      <c r="D6" s="76">
        <v>1.45</v>
      </c>
      <c r="E6" s="76">
        <v>0</v>
      </c>
      <c r="F6" s="76">
        <v>1</v>
      </c>
      <c r="G6" s="76">
        <v>0</v>
      </c>
      <c r="H6" s="76">
        <v>0.7</v>
      </c>
      <c r="I6" s="76">
        <v>0</v>
      </c>
      <c r="J6" s="76">
        <v>1.35</v>
      </c>
      <c r="K6" s="76">
        <v>0</v>
      </c>
      <c r="L6" s="76">
        <v>1.25</v>
      </c>
      <c r="M6" s="76">
        <v>0</v>
      </c>
      <c r="N6" s="76">
        <v>1.25</v>
      </c>
      <c r="O6" s="76">
        <v>0</v>
      </c>
      <c r="P6" s="76">
        <v>0.55000000000000004</v>
      </c>
      <c r="Q6" s="76">
        <v>0</v>
      </c>
    </row>
    <row r="7" spans="1:17" x14ac:dyDescent="0.25">
      <c r="A7" s="78" t="s">
        <v>37</v>
      </c>
      <c r="B7" s="76">
        <v>0.7</v>
      </c>
      <c r="C7" s="76">
        <v>0</v>
      </c>
      <c r="D7" s="76">
        <v>1.45</v>
      </c>
      <c r="E7" s="76">
        <v>0</v>
      </c>
      <c r="F7" s="76">
        <v>1</v>
      </c>
      <c r="G7" s="76">
        <v>0</v>
      </c>
      <c r="H7" s="76">
        <v>0.7</v>
      </c>
      <c r="I7" s="76">
        <v>0</v>
      </c>
      <c r="J7" s="76">
        <v>1.35</v>
      </c>
      <c r="K7" s="76">
        <v>0</v>
      </c>
      <c r="L7" s="76">
        <v>1.25</v>
      </c>
      <c r="M7" s="76">
        <v>0</v>
      </c>
      <c r="N7" s="76">
        <v>1.25</v>
      </c>
      <c r="O7" s="76">
        <v>0</v>
      </c>
      <c r="P7" s="76">
        <v>0.55000000000000004</v>
      </c>
      <c r="Q7" s="76">
        <v>0</v>
      </c>
    </row>
    <row r="8" spans="1:17" x14ac:dyDescent="0.25">
      <c r="A8" s="78" t="s">
        <v>40</v>
      </c>
      <c r="B8" s="76">
        <v>0.7</v>
      </c>
      <c r="C8" s="76">
        <v>0</v>
      </c>
      <c r="D8" s="76">
        <v>1.45</v>
      </c>
      <c r="E8" s="76">
        <v>0</v>
      </c>
      <c r="F8" s="76">
        <v>1</v>
      </c>
      <c r="G8" s="76">
        <v>0</v>
      </c>
      <c r="H8" s="76">
        <v>0.7</v>
      </c>
      <c r="I8" s="76">
        <v>0</v>
      </c>
      <c r="J8" s="76">
        <v>1.35</v>
      </c>
      <c r="K8" s="76">
        <v>0</v>
      </c>
      <c r="L8" s="76">
        <v>1.25</v>
      </c>
      <c r="M8" s="76">
        <v>0</v>
      </c>
      <c r="N8" s="76">
        <v>1.25</v>
      </c>
      <c r="O8" s="76">
        <v>0</v>
      </c>
      <c r="P8" s="76">
        <v>0.55000000000000004</v>
      </c>
      <c r="Q8" s="76">
        <v>0</v>
      </c>
    </row>
    <row r="9" spans="1:17" x14ac:dyDescent="0.25">
      <c r="A9" s="78" t="s">
        <v>25</v>
      </c>
      <c r="B9" s="76">
        <v>1.3</v>
      </c>
      <c r="C9" s="76">
        <v>0</v>
      </c>
      <c r="D9" s="76">
        <v>0.55000000000000004</v>
      </c>
      <c r="E9" s="76">
        <v>0</v>
      </c>
      <c r="F9" s="76">
        <v>1</v>
      </c>
      <c r="G9" s="76">
        <v>0</v>
      </c>
      <c r="H9" s="76">
        <v>1.3</v>
      </c>
      <c r="I9" s="76">
        <v>0</v>
      </c>
      <c r="J9" s="76">
        <v>0.65</v>
      </c>
      <c r="K9" s="76">
        <v>0</v>
      </c>
      <c r="L9" s="76">
        <v>0.75</v>
      </c>
      <c r="M9" s="76">
        <v>0</v>
      </c>
      <c r="N9" s="76">
        <v>0.75</v>
      </c>
      <c r="O9" s="76">
        <v>0</v>
      </c>
      <c r="P9" s="76">
        <v>1.45</v>
      </c>
      <c r="Q9" s="76">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B4873D-D319-4F5D-9634-7CDE38ABD191}">
  <sheetPr codeName="Sheet19"/>
  <dimension ref="A1:Q14"/>
  <sheetViews>
    <sheetView workbookViewId="0"/>
  </sheetViews>
  <sheetFormatPr defaultColWidth="8.85546875" defaultRowHeight="15" x14ac:dyDescent="0.25"/>
  <cols>
    <col min="1" max="1" width="17.7109375"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 min="18" max="18" width="16.5703125" customWidth="1"/>
    <col min="19" max="19" width="14.28515625" customWidth="1"/>
    <col min="20" max="20" width="20.7109375" customWidth="1"/>
    <col min="21" max="21" width="18.42578125" customWidth="1"/>
  </cols>
  <sheetData>
    <row r="1" spans="1:17" x14ac:dyDescent="0.25">
      <c r="A1" s="71" t="s">
        <v>241</v>
      </c>
      <c r="B1" s="71" t="s">
        <v>250</v>
      </c>
      <c r="C1" s="71" t="s">
        <v>251</v>
      </c>
      <c r="D1" s="71" t="s">
        <v>252</v>
      </c>
      <c r="E1" s="71" t="s">
        <v>253</v>
      </c>
      <c r="F1" s="71" t="s">
        <v>254</v>
      </c>
      <c r="G1" s="71" t="s">
        <v>255</v>
      </c>
      <c r="H1" s="71" t="s">
        <v>256</v>
      </c>
      <c r="I1" s="71" t="s">
        <v>257</v>
      </c>
      <c r="J1" s="71" t="s">
        <v>258</v>
      </c>
      <c r="K1" s="71" t="s">
        <v>259</v>
      </c>
      <c r="L1" s="71" t="s">
        <v>260</v>
      </c>
      <c r="M1" s="71" t="s">
        <v>261</v>
      </c>
      <c r="N1" s="71" t="s">
        <v>262</v>
      </c>
      <c r="O1" s="71" t="s">
        <v>263</v>
      </c>
      <c r="P1" s="71" t="s">
        <v>264</v>
      </c>
      <c r="Q1" s="71" t="s">
        <v>265</v>
      </c>
    </row>
    <row r="2" spans="1:17" x14ac:dyDescent="0.25">
      <c r="A2" s="71" t="s">
        <v>242</v>
      </c>
      <c r="B2" s="59">
        <v>635.01228460000004</v>
      </c>
      <c r="C2" s="41">
        <v>0</v>
      </c>
      <c r="D2" s="59">
        <v>663.24709849999999</v>
      </c>
      <c r="E2" s="41">
        <v>0</v>
      </c>
      <c r="F2" s="59">
        <v>596.50480640000001</v>
      </c>
      <c r="G2" s="41">
        <v>0</v>
      </c>
      <c r="H2" s="25">
        <v>0</v>
      </c>
      <c r="I2" s="25">
        <v>0</v>
      </c>
      <c r="J2" s="25">
        <v>0</v>
      </c>
      <c r="K2" s="25">
        <v>0</v>
      </c>
      <c r="L2" s="25">
        <v>0</v>
      </c>
      <c r="M2" s="25">
        <v>0</v>
      </c>
      <c r="N2" s="25">
        <v>0</v>
      </c>
      <c r="O2" s="25">
        <v>0</v>
      </c>
      <c r="P2" s="59">
        <v>382.13728809999998</v>
      </c>
      <c r="Q2" s="41">
        <v>0</v>
      </c>
    </row>
    <row r="3" spans="1:17" x14ac:dyDescent="0.25">
      <c r="A3" s="71" t="s">
        <v>243</v>
      </c>
      <c r="B3" s="25">
        <v>0</v>
      </c>
      <c r="C3" s="25">
        <v>0</v>
      </c>
      <c r="D3" s="25">
        <v>0</v>
      </c>
      <c r="E3" s="25">
        <v>0</v>
      </c>
      <c r="F3" s="25">
        <v>0</v>
      </c>
      <c r="G3" s="25">
        <v>0</v>
      </c>
      <c r="H3" s="25">
        <v>0</v>
      </c>
      <c r="I3" s="25">
        <v>0</v>
      </c>
      <c r="J3" s="25">
        <v>0</v>
      </c>
      <c r="K3" s="25">
        <v>0</v>
      </c>
      <c r="L3" s="25">
        <v>0</v>
      </c>
      <c r="M3" s="25">
        <v>0</v>
      </c>
      <c r="N3" s="25">
        <v>0</v>
      </c>
      <c r="O3" s="25">
        <v>0</v>
      </c>
      <c r="P3" s="59">
        <v>361.02872189999999</v>
      </c>
      <c r="Q3" s="41">
        <v>0</v>
      </c>
    </row>
    <row r="4" spans="1:17" x14ac:dyDescent="0.25">
      <c r="A4" s="71" t="s">
        <v>244</v>
      </c>
      <c r="B4" s="59">
        <v>725.0291555</v>
      </c>
      <c r="C4" s="41">
        <v>0</v>
      </c>
      <c r="D4" s="59">
        <v>689.50594660000002</v>
      </c>
      <c r="E4" s="41">
        <v>0</v>
      </c>
      <c r="F4" s="59">
        <v>636.76472630000001</v>
      </c>
      <c r="G4" s="41">
        <v>0</v>
      </c>
      <c r="H4" s="59">
        <v>680.32795139999996</v>
      </c>
      <c r="I4" s="41">
        <v>0</v>
      </c>
      <c r="J4" s="60">
        <v>0</v>
      </c>
      <c r="K4" s="60">
        <v>0</v>
      </c>
      <c r="L4" s="59">
        <v>589.20022670000003</v>
      </c>
      <c r="M4" s="41">
        <v>0</v>
      </c>
      <c r="N4" s="59">
        <v>581.9355018</v>
      </c>
      <c r="O4" s="41">
        <v>0</v>
      </c>
      <c r="P4" s="59">
        <v>384.33633209999999</v>
      </c>
      <c r="Q4" s="41">
        <v>0</v>
      </c>
    </row>
    <row r="5" spans="1:17" x14ac:dyDescent="0.25">
      <c r="A5" s="71" t="s">
        <v>245</v>
      </c>
      <c r="B5" s="59">
        <v>477.42862980000001</v>
      </c>
      <c r="C5" s="41">
        <v>0</v>
      </c>
      <c r="D5" s="59">
        <v>505.12377629999997</v>
      </c>
      <c r="E5" s="41">
        <v>0</v>
      </c>
      <c r="F5" s="59">
        <v>283.28138000000001</v>
      </c>
      <c r="G5" s="41">
        <v>0</v>
      </c>
      <c r="H5" s="59">
        <v>478.31388720000001</v>
      </c>
      <c r="I5" s="41">
        <v>0</v>
      </c>
      <c r="J5" s="60">
        <v>0</v>
      </c>
      <c r="K5" s="60">
        <v>0</v>
      </c>
      <c r="L5" s="59">
        <v>398.15216140000001</v>
      </c>
      <c r="M5" s="41">
        <v>0</v>
      </c>
      <c r="N5" s="59">
        <v>421.41983699999997</v>
      </c>
      <c r="O5" s="41">
        <v>0</v>
      </c>
      <c r="P5" s="59">
        <v>376.87439460000002</v>
      </c>
      <c r="Q5" s="41">
        <v>0</v>
      </c>
    </row>
    <row r="6" spans="1:17" x14ac:dyDescent="0.25">
      <c r="A6" s="71" t="s">
        <v>246</v>
      </c>
      <c r="B6" s="59">
        <v>686.27917339999999</v>
      </c>
      <c r="C6" s="41">
        <v>0</v>
      </c>
      <c r="D6" s="59">
        <v>695.21326469999997</v>
      </c>
      <c r="E6" s="41">
        <v>0</v>
      </c>
      <c r="F6" s="59">
        <v>592.18646490000003</v>
      </c>
      <c r="G6" s="41">
        <v>0</v>
      </c>
      <c r="H6" s="59">
        <v>775.04194170000005</v>
      </c>
      <c r="I6" s="41">
        <v>0</v>
      </c>
      <c r="J6" s="59">
        <v>706.90238880000004</v>
      </c>
      <c r="K6" s="41">
        <v>0</v>
      </c>
      <c r="L6" s="59">
        <v>594.32787619999999</v>
      </c>
      <c r="M6" s="41">
        <v>0</v>
      </c>
      <c r="N6" s="59">
        <v>605.2466713</v>
      </c>
      <c r="O6" s="41">
        <v>0</v>
      </c>
      <c r="P6" s="59">
        <v>481.85085029999999</v>
      </c>
      <c r="Q6" s="41">
        <v>0</v>
      </c>
    </row>
    <row r="7" spans="1:17" x14ac:dyDescent="0.25">
      <c r="A7" s="71" t="s">
        <v>247</v>
      </c>
      <c r="B7" s="59">
        <v>651.63503549999996</v>
      </c>
      <c r="C7" s="41">
        <v>0</v>
      </c>
      <c r="D7" s="59">
        <v>665.15914169999996</v>
      </c>
      <c r="E7" s="41">
        <v>0</v>
      </c>
      <c r="F7" s="59">
        <v>614.00723270000003</v>
      </c>
      <c r="G7" s="41">
        <v>0</v>
      </c>
      <c r="H7" s="59">
        <v>660.47944600000005</v>
      </c>
      <c r="I7" s="41">
        <v>0</v>
      </c>
      <c r="J7" s="59">
        <v>675.54439430000002</v>
      </c>
      <c r="K7" s="41">
        <v>0</v>
      </c>
      <c r="L7" s="59">
        <v>563.46870899999999</v>
      </c>
      <c r="M7" s="41">
        <v>0</v>
      </c>
      <c r="N7" s="59">
        <v>578.89518050000004</v>
      </c>
      <c r="O7" s="41">
        <v>0</v>
      </c>
      <c r="P7" s="59">
        <v>439.50409630000001</v>
      </c>
      <c r="Q7" s="41">
        <v>0</v>
      </c>
    </row>
    <row r="8" spans="1:17" x14ac:dyDescent="0.25">
      <c r="A8" s="71" t="s">
        <v>248</v>
      </c>
      <c r="B8" s="59">
        <v>762.60053649999998</v>
      </c>
      <c r="C8" s="41">
        <v>0</v>
      </c>
      <c r="D8" s="59">
        <v>759.11908770000002</v>
      </c>
      <c r="E8" s="41">
        <v>0</v>
      </c>
      <c r="F8" s="59">
        <v>693.92314339999996</v>
      </c>
      <c r="G8" s="41">
        <v>0</v>
      </c>
      <c r="H8" s="59">
        <v>776.56897309999999</v>
      </c>
      <c r="I8" s="41">
        <v>0</v>
      </c>
      <c r="J8" s="59">
        <v>806.47507580000001</v>
      </c>
      <c r="K8" s="41">
        <v>0</v>
      </c>
      <c r="L8" s="59">
        <v>637.94994699999995</v>
      </c>
      <c r="M8" s="41">
        <v>0</v>
      </c>
      <c r="N8" s="59">
        <v>642.09754529999998</v>
      </c>
      <c r="O8" s="41">
        <v>0</v>
      </c>
      <c r="P8" s="59">
        <v>496.0484093</v>
      </c>
      <c r="Q8" s="41">
        <v>0</v>
      </c>
    </row>
    <row r="9" spans="1:17" x14ac:dyDescent="0.25">
      <c r="A9" s="71" t="s">
        <v>249</v>
      </c>
      <c r="B9" s="59">
        <v>630.72580010000001</v>
      </c>
      <c r="C9" s="41">
        <v>0</v>
      </c>
      <c r="D9" s="59">
        <v>691.41777679999996</v>
      </c>
      <c r="E9" s="41">
        <v>0</v>
      </c>
      <c r="F9" s="59">
        <v>530.40038509999999</v>
      </c>
      <c r="G9" s="41">
        <v>0</v>
      </c>
      <c r="H9" s="59">
        <v>569.15045669999995</v>
      </c>
      <c r="I9" s="41">
        <v>0</v>
      </c>
      <c r="J9" s="59">
        <v>623.45368399999995</v>
      </c>
      <c r="K9" s="41">
        <v>0</v>
      </c>
      <c r="L9" s="59">
        <v>453.29391390000001</v>
      </c>
      <c r="M9" s="41">
        <v>0</v>
      </c>
      <c r="N9" s="59">
        <v>444.99252890000002</v>
      </c>
      <c r="O9" s="41">
        <v>0</v>
      </c>
      <c r="P9" s="59">
        <v>318.51089100000002</v>
      </c>
      <c r="Q9" s="41">
        <v>0</v>
      </c>
    </row>
    <row r="10" spans="1:17" x14ac:dyDescent="0.25">
      <c r="A10" s="29"/>
      <c r="B10" s="8">
        <f>GetColorCountSynRecInt($B$2:$Q$9,A10)</f>
        <v>51</v>
      </c>
      <c r="C10" s="8"/>
      <c r="D10" s="8"/>
      <c r="E10" s="8"/>
      <c r="F10" s="8"/>
      <c r="G10" s="8"/>
      <c r="H10" s="8"/>
      <c r="I10" s="8"/>
      <c r="J10" s="8"/>
      <c r="K10" s="8"/>
      <c r="L10" s="8"/>
      <c r="M10" s="8"/>
      <c r="N10" s="8"/>
      <c r="O10" s="8"/>
      <c r="P10" s="8"/>
      <c r="Q10" s="8"/>
    </row>
    <row r="11" spans="1:17" x14ac:dyDescent="0.25">
      <c r="A11" s="31"/>
      <c r="B11" s="8">
        <f>GetColorCountSynRecInt($B$2:$Q$9,A11)</f>
        <v>0</v>
      </c>
      <c r="C11" s="8"/>
      <c r="D11" s="8"/>
      <c r="E11" s="8"/>
      <c r="F11" s="8"/>
      <c r="G11" s="8"/>
      <c r="H11" s="8"/>
      <c r="I11" s="8"/>
      <c r="J11" s="8"/>
      <c r="K11" s="8"/>
      <c r="L11" s="8"/>
      <c r="M11" s="8"/>
      <c r="N11" s="8"/>
      <c r="O11" s="8"/>
      <c r="P11" s="8"/>
      <c r="Q11" s="8"/>
    </row>
    <row r="12" spans="1:17" x14ac:dyDescent="0.25">
      <c r="A12" s="30"/>
      <c r="B12" s="8">
        <f>GetColorCountSynRecInt($B$2:$Q$9,A12)</f>
        <v>0</v>
      </c>
      <c r="C12" s="8"/>
      <c r="D12" s="8"/>
      <c r="E12" s="8"/>
      <c r="F12" s="8"/>
      <c r="G12" s="8"/>
      <c r="H12" s="8"/>
      <c r="I12" s="8"/>
      <c r="J12" s="8"/>
      <c r="K12" s="8"/>
      <c r="L12" s="8"/>
      <c r="M12" s="8"/>
      <c r="N12" s="8"/>
      <c r="O12" s="8"/>
      <c r="P12" s="8"/>
      <c r="Q12" s="8"/>
    </row>
    <row r="13" spans="1:17" x14ac:dyDescent="0.25">
      <c r="A13" s="40"/>
      <c r="B13" s="8">
        <f>GetColorCountSynRecInt($B$2:$Q$9,A13)</f>
        <v>51</v>
      </c>
      <c r="C13" s="8"/>
      <c r="D13" s="8"/>
      <c r="E13" s="8"/>
      <c r="F13" s="8"/>
      <c r="G13" s="8"/>
      <c r="H13" s="8"/>
      <c r="I13" s="8"/>
      <c r="J13" s="8"/>
      <c r="K13" s="8"/>
      <c r="L13" s="8"/>
      <c r="M13" s="8"/>
      <c r="N13" s="8"/>
      <c r="O13" s="8"/>
      <c r="P13" s="8"/>
      <c r="Q13" s="8"/>
    </row>
    <row r="14" spans="1:17" x14ac:dyDescent="0.25">
      <c r="A14" s="70"/>
      <c r="B14" s="8">
        <f>GetColorCountSynRecInt($B$2:$Q$9,A14)</f>
        <v>0</v>
      </c>
      <c r="C14" s="8"/>
      <c r="D14" s="8"/>
      <c r="E14" s="8"/>
      <c r="F14" s="8"/>
      <c r="G14" s="8"/>
      <c r="H14" s="8"/>
      <c r="I14" s="8"/>
      <c r="J14" s="8"/>
      <c r="K14" s="8"/>
      <c r="L14" s="8"/>
      <c r="M14" s="8"/>
      <c r="N14" s="8"/>
      <c r="O14" s="8"/>
      <c r="P14" s="8"/>
      <c r="Q14" s="8"/>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A531F-7016-49DF-A18F-3D4C19E4D5F7}">
  <sheetPr codeName="Sheet21"/>
  <dimension ref="A1:Q14"/>
  <sheetViews>
    <sheetView workbookViewId="0"/>
  </sheetViews>
  <sheetFormatPr defaultColWidth="8.85546875" defaultRowHeight="15" x14ac:dyDescent="0.25"/>
  <cols>
    <col min="1" max="1" width="17.7109375"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 min="18" max="18" width="16.5703125" customWidth="1"/>
    <col min="19" max="19" width="14.28515625" customWidth="1"/>
    <col min="20" max="20" width="20.7109375" customWidth="1"/>
    <col min="21" max="21" width="18.42578125" customWidth="1"/>
  </cols>
  <sheetData>
    <row r="1" spans="1:17" x14ac:dyDescent="0.25">
      <c r="A1" s="68" t="s">
        <v>266</v>
      </c>
      <c r="B1" s="68" t="s">
        <v>275</v>
      </c>
      <c r="C1" s="68" t="s">
        <v>276</v>
      </c>
      <c r="D1" s="68" t="s">
        <v>277</v>
      </c>
      <c r="E1" s="68" t="s">
        <v>278</v>
      </c>
      <c r="F1" s="68" t="s">
        <v>279</v>
      </c>
      <c r="G1" s="68" t="s">
        <v>280</v>
      </c>
      <c r="H1" s="68" t="s">
        <v>281</v>
      </c>
      <c r="I1" s="68" t="s">
        <v>282</v>
      </c>
      <c r="J1" s="68" t="s">
        <v>283</v>
      </c>
      <c r="K1" s="68" t="s">
        <v>284</v>
      </c>
      <c r="L1" s="68" t="s">
        <v>285</v>
      </c>
      <c r="M1" s="68" t="s">
        <v>286</v>
      </c>
      <c r="N1" s="68" t="s">
        <v>287</v>
      </c>
      <c r="O1" s="68" t="s">
        <v>288</v>
      </c>
      <c r="P1" s="68" t="s">
        <v>289</v>
      </c>
      <c r="Q1" s="68" t="s">
        <v>290</v>
      </c>
    </row>
    <row r="2" spans="1:17" x14ac:dyDescent="0.25">
      <c r="A2" s="68" t="s">
        <v>267</v>
      </c>
      <c r="B2" s="59">
        <v>5.1685133590000003</v>
      </c>
      <c r="C2" s="41">
        <v>0</v>
      </c>
      <c r="D2" s="59">
        <v>4.2931307639999998</v>
      </c>
      <c r="E2" s="41">
        <v>0</v>
      </c>
      <c r="F2" s="59">
        <v>4.830825741</v>
      </c>
      <c r="G2" s="41">
        <v>0</v>
      </c>
      <c r="H2" s="25">
        <v>0</v>
      </c>
      <c r="I2" s="25">
        <v>0</v>
      </c>
      <c r="J2" s="25">
        <v>0</v>
      </c>
      <c r="K2" s="25">
        <v>0</v>
      </c>
      <c r="L2" s="25">
        <v>0</v>
      </c>
      <c r="M2" s="25">
        <v>0</v>
      </c>
      <c r="N2" s="25">
        <v>0</v>
      </c>
      <c r="O2" s="25">
        <v>0</v>
      </c>
      <c r="P2" s="59">
        <v>9.1073055440000008</v>
      </c>
      <c r="Q2" s="41">
        <v>0</v>
      </c>
    </row>
    <row r="3" spans="1:17" x14ac:dyDescent="0.25">
      <c r="A3" s="68" t="s">
        <v>268</v>
      </c>
      <c r="B3" s="25">
        <v>0</v>
      </c>
      <c r="C3" s="25">
        <v>0</v>
      </c>
      <c r="D3" s="25">
        <v>0</v>
      </c>
      <c r="E3" s="25">
        <v>0</v>
      </c>
      <c r="F3" s="25">
        <v>0</v>
      </c>
      <c r="G3" s="25">
        <v>0</v>
      </c>
      <c r="H3" s="25">
        <v>0</v>
      </c>
      <c r="I3" s="25">
        <v>0</v>
      </c>
      <c r="J3" s="25">
        <v>0</v>
      </c>
      <c r="K3" s="25">
        <v>0</v>
      </c>
      <c r="L3" s="25">
        <v>0</v>
      </c>
      <c r="M3" s="25">
        <v>0</v>
      </c>
      <c r="N3" s="25">
        <v>0</v>
      </c>
      <c r="O3" s="25">
        <v>0</v>
      </c>
      <c r="P3" s="59">
        <v>7.6234727739999997</v>
      </c>
      <c r="Q3" s="41">
        <v>0</v>
      </c>
    </row>
    <row r="4" spans="1:17" x14ac:dyDescent="0.25">
      <c r="A4" s="68" t="s">
        <v>269</v>
      </c>
      <c r="B4" s="59">
        <v>3.8002838759999999</v>
      </c>
      <c r="C4" s="41">
        <v>0</v>
      </c>
      <c r="D4" s="59">
        <v>3.0070165449999999</v>
      </c>
      <c r="E4" s="41">
        <v>0</v>
      </c>
      <c r="F4" s="59">
        <v>4.2067652799999999</v>
      </c>
      <c r="G4" s="41">
        <v>0</v>
      </c>
      <c r="H4" s="59">
        <v>4.7204979849999997</v>
      </c>
      <c r="I4" s="41">
        <v>0</v>
      </c>
      <c r="J4" s="60">
        <v>0</v>
      </c>
      <c r="K4" s="60">
        <v>0</v>
      </c>
      <c r="L4" s="59">
        <v>5.1624473670000004</v>
      </c>
      <c r="M4" s="41">
        <v>0</v>
      </c>
      <c r="N4" s="59">
        <v>5.2306102780000003</v>
      </c>
      <c r="O4" s="41">
        <v>0</v>
      </c>
      <c r="P4" s="59">
        <v>7.6386223400000004</v>
      </c>
      <c r="Q4" s="41">
        <v>0</v>
      </c>
    </row>
    <row r="5" spans="1:17" x14ac:dyDescent="0.25">
      <c r="A5" s="68" t="s">
        <v>270</v>
      </c>
      <c r="B5" s="59">
        <v>5.4384719199999996</v>
      </c>
      <c r="C5" s="41">
        <v>0</v>
      </c>
      <c r="D5" s="59">
        <v>4.6885378759999998</v>
      </c>
      <c r="E5" s="41">
        <v>0</v>
      </c>
      <c r="F5" s="59">
        <v>4.8866677249999997</v>
      </c>
      <c r="G5" s="41">
        <v>0</v>
      </c>
      <c r="H5" s="59">
        <v>5.9732846999999998</v>
      </c>
      <c r="I5" s="41">
        <v>0</v>
      </c>
      <c r="J5" s="60">
        <v>0</v>
      </c>
      <c r="K5" s="60">
        <v>0</v>
      </c>
      <c r="L5" s="59">
        <v>6.4800958409999998</v>
      </c>
      <c r="M5" s="41">
        <v>0</v>
      </c>
      <c r="N5" s="59">
        <v>6.5387009980000004</v>
      </c>
      <c r="O5" s="41">
        <v>0</v>
      </c>
      <c r="P5" s="59">
        <v>9.1010156329999994</v>
      </c>
      <c r="Q5" s="41">
        <v>0</v>
      </c>
    </row>
    <row r="6" spans="1:17" x14ac:dyDescent="0.25">
      <c r="A6" s="68" t="s">
        <v>271</v>
      </c>
      <c r="B6" s="59">
        <v>4.5685450110000003</v>
      </c>
      <c r="C6" s="41">
        <v>0</v>
      </c>
      <c r="D6" s="59">
        <v>3.8572302089999999</v>
      </c>
      <c r="E6" s="41">
        <v>0</v>
      </c>
      <c r="F6" s="59">
        <v>4.5777977229999998</v>
      </c>
      <c r="G6" s="41">
        <v>0</v>
      </c>
      <c r="H6" s="59">
        <v>4.5765152909999998</v>
      </c>
      <c r="I6" s="41">
        <v>0</v>
      </c>
      <c r="J6" s="59">
        <v>4.3802294509999999</v>
      </c>
      <c r="K6" s="41">
        <v>0</v>
      </c>
      <c r="L6" s="59">
        <v>5.5295219209999997</v>
      </c>
      <c r="M6" s="41">
        <v>0</v>
      </c>
      <c r="N6" s="59">
        <v>5.5373804160000004</v>
      </c>
      <c r="O6" s="41">
        <v>0</v>
      </c>
      <c r="P6" s="59">
        <v>7.4862871599999998</v>
      </c>
      <c r="Q6" s="41">
        <v>0</v>
      </c>
    </row>
    <row r="7" spans="1:17" x14ac:dyDescent="0.25">
      <c r="A7" s="68" t="s">
        <v>272</v>
      </c>
      <c r="B7" s="59">
        <v>5.6737536559999997</v>
      </c>
      <c r="C7" s="41">
        <v>0</v>
      </c>
      <c r="D7" s="59">
        <v>4.7456024729999999</v>
      </c>
      <c r="E7" s="41">
        <v>0</v>
      </c>
      <c r="F7" s="59">
        <v>5.3989214130000001</v>
      </c>
      <c r="G7" s="41">
        <v>0</v>
      </c>
      <c r="H7" s="59">
        <v>6.2405034959999997</v>
      </c>
      <c r="I7" s="41">
        <v>0</v>
      </c>
      <c r="J7" s="59">
        <v>5.5139086510000004</v>
      </c>
      <c r="K7" s="41">
        <v>0</v>
      </c>
      <c r="L7" s="59">
        <v>6.8941903560000002</v>
      </c>
      <c r="M7" s="41">
        <v>0</v>
      </c>
      <c r="N7" s="59">
        <v>6.9610173319999999</v>
      </c>
      <c r="O7" s="41">
        <v>0</v>
      </c>
      <c r="P7" s="59">
        <v>9.0070789159999993</v>
      </c>
      <c r="Q7" s="41">
        <v>0</v>
      </c>
    </row>
    <row r="8" spans="1:17" x14ac:dyDescent="0.25">
      <c r="A8" s="68" t="s">
        <v>273</v>
      </c>
      <c r="B8" s="59">
        <v>4.5496584960000002</v>
      </c>
      <c r="C8" s="41">
        <v>0</v>
      </c>
      <c r="D8" s="59">
        <v>3.8961956039999999</v>
      </c>
      <c r="E8" s="41">
        <v>0</v>
      </c>
      <c r="F8" s="59">
        <v>4.322167425</v>
      </c>
      <c r="G8" s="41">
        <v>0</v>
      </c>
      <c r="H8" s="59">
        <v>4.9583241859999996</v>
      </c>
      <c r="I8" s="41">
        <v>0</v>
      </c>
      <c r="J8" s="59">
        <v>4.3170884879999996</v>
      </c>
      <c r="K8" s="41">
        <v>0</v>
      </c>
      <c r="L8" s="59">
        <v>5.5171951349999997</v>
      </c>
      <c r="M8" s="41">
        <v>0</v>
      </c>
      <c r="N8" s="59">
        <v>5.533747322</v>
      </c>
      <c r="O8" s="41">
        <v>0</v>
      </c>
      <c r="P8" s="59">
        <v>7.1490502779999998</v>
      </c>
      <c r="Q8" s="41">
        <v>0</v>
      </c>
    </row>
    <row r="9" spans="1:17" x14ac:dyDescent="0.25">
      <c r="A9" s="68" t="s">
        <v>274</v>
      </c>
      <c r="B9" s="59">
        <v>4.9230207400000001</v>
      </c>
      <c r="C9" s="41">
        <v>0</v>
      </c>
      <c r="D9" s="59">
        <v>3.9713038900000002</v>
      </c>
      <c r="E9" s="41">
        <v>0</v>
      </c>
      <c r="F9" s="59">
        <v>4.2935729</v>
      </c>
      <c r="G9" s="41">
        <v>0</v>
      </c>
      <c r="H9" s="59">
        <v>5.3677049559999999</v>
      </c>
      <c r="I9" s="41">
        <v>0</v>
      </c>
      <c r="J9" s="59">
        <v>4.4812411770000002</v>
      </c>
      <c r="K9" s="41">
        <v>0</v>
      </c>
      <c r="L9" s="59">
        <v>5.8157705929999999</v>
      </c>
      <c r="M9" s="41">
        <v>0</v>
      </c>
      <c r="N9" s="59">
        <v>5.9483035529999997</v>
      </c>
      <c r="O9" s="41">
        <v>0</v>
      </c>
      <c r="P9" s="59">
        <v>10.218939840000001</v>
      </c>
      <c r="Q9" s="41">
        <v>0</v>
      </c>
    </row>
    <row r="10" spans="1:17" x14ac:dyDescent="0.25">
      <c r="A10" s="69"/>
      <c r="B10" s="64">
        <f>GetColorCountSynDecayInt($B$2:$Q$9,A10)</f>
        <v>51</v>
      </c>
      <c r="C10" s="64"/>
      <c r="D10" s="64"/>
      <c r="E10" s="64"/>
      <c r="F10" s="64"/>
      <c r="G10" s="64"/>
      <c r="H10" s="64"/>
      <c r="I10" s="64"/>
      <c r="J10" s="64"/>
      <c r="K10" s="64"/>
      <c r="L10" s="64"/>
      <c r="M10" s="64"/>
      <c r="N10" s="64"/>
      <c r="O10" s="64"/>
      <c r="P10" s="64"/>
      <c r="Q10" s="64"/>
    </row>
    <row r="11" spans="1:17" x14ac:dyDescent="0.25">
      <c r="A11" s="31"/>
      <c r="B11" s="8">
        <f>GetColorCountSynDecayInt($B$2:$Q$9,A11)</f>
        <v>0</v>
      </c>
      <c r="C11" s="8"/>
      <c r="D11" s="8"/>
      <c r="E11" s="8"/>
      <c r="F11" s="8"/>
      <c r="G11" s="8"/>
      <c r="H11" s="8"/>
      <c r="I11" s="8"/>
      <c r="J11" s="8"/>
      <c r="K11" s="8"/>
      <c r="L11" s="8"/>
      <c r="M11" s="8"/>
      <c r="N11" s="8"/>
      <c r="O11" s="8"/>
      <c r="P11" s="8"/>
      <c r="Q11" s="8"/>
    </row>
    <row r="12" spans="1:17" x14ac:dyDescent="0.25">
      <c r="A12" s="30"/>
      <c r="B12" s="8">
        <f>GetColorCountSynDecayInt($B$2:$Q$9,A12)</f>
        <v>0</v>
      </c>
      <c r="C12" s="8"/>
      <c r="D12" s="8"/>
      <c r="E12" s="8"/>
      <c r="F12" s="8"/>
      <c r="G12" s="8"/>
      <c r="H12" s="8"/>
      <c r="I12" s="8"/>
      <c r="J12" s="8"/>
      <c r="K12" s="8"/>
      <c r="L12" s="8"/>
      <c r="M12" s="8"/>
      <c r="N12" s="8"/>
      <c r="O12" s="8"/>
      <c r="P12" s="8"/>
      <c r="Q12" s="8"/>
    </row>
    <row r="13" spans="1:17" x14ac:dyDescent="0.25">
      <c r="A13" s="40"/>
      <c r="B13" s="8">
        <f>GetColorCountSynDecayInt($B$2:$Q$9,A13)</f>
        <v>51</v>
      </c>
      <c r="C13" s="8"/>
      <c r="D13" s="8"/>
      <c r="E13" s="8"/>
      <c r="F13" s="8"/>
      <c r="G13" s="8"/>
      <c r="H13" s="8"/>
      <c r="I13" s="8"/>
      <c r="J13" s="8"/>
      <c r="K13" s="8"/>
      <c r="L13" s="8"/>
      <c r="M13" s="8"/>
      <c r="N13" s="8"/>
      <c r="O13" s="8"/>
      <c r="P13" s="8"/>
      <c r="Q13" s="8"/>
    </row>
    <row r="14" spans="1:17" x14ac:dyDescent="0.25">
      <c r="A14" s="70"/>
      <c r="B14" s="8">
        <f>GetColorCountSynDecayInt($B$2:$Q$9,A14)</f>
        <v>0</v>
      </c>
      <c r="C14" s="8"/>
      <c r="D14" s="8"/>
      <c r="E14" s="8"/>
      <c r="F14" s="8"/>
      <c r="G14" s="8"/>
      <c r="H14" s="8"/>
      <c r="I14" s="8"/>
      <c r="J14" s="8"/>
      <c r="K14" s="8"/>
      <c r="L14" s="8"/>
      <c r="M14" s="8"/>
      <c r="N14" s="8"/>
      <c r="O14" s="8"/>
      <c r="P14" s="8"/>
      <c r="Q14" s="8"/>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9FA44-A9E0-47D8-819C-23897B3B41FB}">
  <sheetPr codeName="Sheet23"/>
  <dimension ref="A1:Q14"/>
  <sheetViews>
    <sheetView workbookViewId="0"/>
  </sheetViews>
  <sheetFormatPr defaultColWidth="8.85546875" defaultRowHeight="15" x14ac:dyDescent="0.25"/>
  <cols>
    <col min="1" max="1" width="17.7109375"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 min="18" max="18" width="16.5703125" customWidth="1"/>
    <col min="19" max="19" width="14.28515625" customWidth="1"/>
    <col min="20" max="20" width="20.7109375" customWidth="1"/>
    <col min="21" max="21" width="18.42578125" customWidth="1"/>
  </cols>
  <sheetData>
    <row r="1" spans="1:17" x14ac:dyDescent="0.25">
      <c r="A1" s="67" t="s">
        <v>291</v>
      </c>
      <c r="B1" s="67" t="s">
        <v>300</v>
      </c>
      <c r="C1" s="67" t="s">
        <v>301</v>
      </c>
      <c r="D1" s="67" t="s">
        <v>302</v>
      </c>
      <c r="E1" s="67" t="s">
        <v>303</v>
      </c>
      <c r="F1" s="67" t="s">
        <v>304</v>
      </c>
      <c r="G1" s="67" t="s">
        <v>305</v>
      </c>
      <c r="H1" s="67" t="s">
        <v>306</v>
      </c>
      <c r="I1" s="67" t="s">
        <v>307</v>
      </c>
      <c r="J1" s="67" t="s">
        <v>308</v>
      </c>
      <c r="K1" s="67" t="s">
        <v>309</v>
      </c>
      <c r="L1" s="67" t="s">
        <v>310</v>
      </c>
      <c r="M1" s="67" t="s">
        <v>311</v>
      </c>
      <c r="N1" s="67" t="s">
        <v>312</v>
      </c>
      <c r="O1" s="67" t="s">
        <v>313</v>
      </c>
      <c r="P1" s="67" t="s">
        <v>314</v>
      </c>
      <c r="Q1" s="67" t="s">
        <v>315</v>
      </c>
    </row>
    <row r="2" spans="1:17" x14ac:dyDescent="0.25">
      <c r="A2" s="67" t="s">
        <v>292</v>
      </c>
      <c r="B2" s="59">
        <v>22.340223210000001</v>
      </c>
      <c r="C2" s="41">
        <v>0</v>
      </c>
      <c r="D2" s="59">
        <v>16.42005923</v>
      </c>
      <c r="E2" s="41">
        <v>0</v>
      </c>
      <c r="F2" s="59">
        <v>17.784334680000001</v>
      </c>
      <c r="G2" s="41">
        <v>0</v>
      </c>
      <c r="H2" s="25">
        <v>0</v>
      </c>
      <c r="I2" s="25">
        <v>0</v>
      </c>
      <c r="J2" s="25">
        <v>0</v>
      </c>
      <c r="K2" s="25">
        <v>0</v>
      </c>
      <c r="L2" s="25">
        <v>0</v>
      </c>
      <c r="M2" s="25">
        <v>0</v>
      </c>
      <c r="N2" s="25">
        <v>0</v>
      </c>
      <c r="O2" s="25">
        <v>0</v>
      </c>
      <c r="P2" s="59">
        <v>24.788013729999999</v>
      </c>
      <c r="Q2" s="41">
        <v>0</v>
      </c>
    </row>
    <row r="3" spans="1:17" x14ac:dyDescent="0.25">
      <c r="A3" s="67" t="s">
        <v>293</v>
      </c>
      <c r="B3" s="25">
        <v>0</v>
      </c>
      <c r="C3" s="25">
        <v>0</v>
      </c>
      <c r="D3" s="25">
        <v>0</v>
      </c>
      <c r="E3" s="25">
        <v>0</v>
      </c>
      <c r="F3" s="25">
        <v>0</v>
      </c>
      <c r="G3" s="25">
        <v>0</v>
      </c>
      <c r="H3" s="25">
        <v>0</v>
      </c>
      <c r="I3" s="25">
        <v>0</v>
      </c>
      <c r="J3" s="25">
        <v>0</v>
      </c>
      <c r="K3" s="25">
        <v>0</v>
      </c>
      <c r="L3" s="25">
        <v>0</v>
      </c>
      <c r="M3" s="25">
        <v>0</v>
      </c>
      <c r="N3" s="25">
        <v>0</v>
      </c>
      <c r="O3" s="25">
        <v>0</v>
      </c>
      <c r="P3" s="59">
        <v>12.93029701</v>
      </c>
      <c r="Q3" s="41">
        <v>0</v>
      </c>
    </row>
    <row r="4" spans="1:17" x14ac:dyDescent="0.25">
      <c r="A4" s="67" t="s">
        <v>294</v>
      </c>
      <c r="B4" s="59">
        <v>23.206893019999999</v>
      </c>
      <c r="C4" s="41">
        <v>0</v>
      </c>
      <c r="D4" s="59">
        <v>11.190425640000001</v>
      </c>
      <c r="E4" s="41">
        <v>0</v>
      </c>
      <c r="F4" s="59">
        <v>16.71506093</v>
      </c>
      <c r="G4" s="41">
        <v>0</v>
      </c>
      <c r="H4" s="59">
        <v>16.715866800000001</v>
      </c>
      <c r="I4" s="41">
        <v>0</v>
      </c>
      <c r="J4" s="60">
        <v>0</v>
      </c>
      <c r="K4" s="60">
        <v>0</v>
      </c>
      <c r="L4" s="59">
        <v>19.305192049999999</v>
      </c>
      <c r="M4" s="41">
        <v>0</v>
      </c>
      <c r="N4" s="59">
        <v>19.603690749999998</v>
      </c>
      <c r="O4" s="41">
        <v>0</v>
      </c>
      <c r="P4" s="59">
        <v>16.73589406</v>
      </c>
      <c r="Q4" s="41">
        <v>0</v>
      </c>
    </row>
    <row r="5" spans="1:17" x14ac:dyDescent="0.25">
      <c r="A5" s="67" t="s">
        <v>295</v>
      </c>
      <c r="B5" s="59">
        <v>18.502334999999999</v>
      </c>
      <c r="C5" s="41">
        <v>0</v>
      </c>
      <c r="D5" s="59">
        <v>14.85568316</v>
      </c>
      <c r="E5" s="41">
        <v>0</v>
      </c>
      <c r="F5" s="59">
        <v>23.375893680000001</v>
      </c>
      <c r="G5" s="41">
        <v>0</v>
      </c>
      <c r="H5" s="59">
        <v>15.246449439999999</v>
      </c>
      <c r="I5" s="41">
        <v>0</v>
      </c>
      <c r="J5" s="60">
        <v>0</v>
      </c>
      <c r="K5" s="60">
        <v>0</v>
      </c>
      <c r="L5" s="59">
        <v>17.343073329999999</v>
      </c>
      <c r="M5" s="41">
        <v>0</v>
      </c>
      <c r="N5" s="59">
        <v>17.838629269999998</v>
      </c>
      <c r="O5" s="41">
        <v>0</v>
      </c>
      <c r="P5" s="59">
        <v>13.760396500000001</v>
      </c>
      <c r="Q5" s="41">
        <v>0</v>
      </c>
    </row>
    <row r="6" spans="1:17" x14ac:dyDescent="0.25">
      <c r="A6" s="67" t="s">
        <v>296</v>
      </c>
      <c r="B6" s="59">
        <v>19.162211079999999</v>
      </c>
      <c r="C6" s="41">
        <v>0</v>
      </c>
      <c r="D6" s="59">
        <v>14.59835713</v>
      </c>
      <c r="E6" s="41">
        <v>0</v>
      </c>
      <c r="F6" s="59">
        <v>17.68670462</v>
      </c>
      <c r="G6" s="41">
        <v>0</v>
      </c>
      <c r="H6" s="59">
        <v>13.597910219999999</v>
      </c>
      <c r="I6" s="41">
        <v>0</v>
      </c>
      <c r="J6" s="59">
        <v>13.541444630000001</v>
      </c>
      <c r="K6" s="41">
        <v>0</v>
      </c>
      <c r="L6" s="59">
        <v>17.894754949999999</v>
      </c>
      <c r="M6" s="41">
        <v>0</v>
      </c>
      <c r="N6" s="59">
        <v>18.297626730000001</v>
      </c>
      <c r="O6" s="41">
        <v>0</v>
      </c>
      <c r="P6" s="59">
        <v>16.60665423</v>
      </c>
      <c r="Q6" s="41">
        <v>0</v>
      </c>
    </row>
    <row r="7" spans="1:17" x14ac:dyDescent="0.25">
      <c r="A7" s="67" t="s">
        <v>297</v>
      </c>
      <c r="B7" s="59">
        <v>25.511270469999999</v>
      </c>
      <c r="C7" s="41">
        <v>0</v>
      </c>
      <c r="D7" s="59">
        <v>19.123136339999999</v>
      </c>
      <c r="E7" s="41">
        <v>0</v>
      </c>
      <c r="F7" s="59">
        <v>20.978047050000001</v>
      </c>
      <c r="G7" s="41">
        <v>0</v>
      </c>
      <c r="H7" s="59">
        <v>22.686669179999999</v>
      </c>
      <c r="I7" s="41">
        <v>0</v>
      </c>
      <c r="J7" s="59">
        <v>17.71732982</v>
      </c>
      <c r="K7" s="41">
        <v>0</v>
      </c>
      <c r="L7" s="59">
        <v>26.146614540000002</v>
      </c>
      <c r="M7" s="41">
        <v>0</v>
      </c>
      <c r="N7" s="59">
        <v>28.449172010000002</v>
      </c>
      <c r="O7" s="41">
        <v>0</v>
      </c>
      <c r="P7" s="59">
        <v>23.011183939999999</v>
      </c>
      <c r="Q7" s="41">
        <v>0</v>
      </c>
    </row>
    <row r="8" spans="1:17" x14ac:dyDescent="0.25">
      <c r="A8" s="67" t="s">
        <v>298</v>
      </c>
      <c r="B8" s="59">
        <v>21.44649708</v>
      </c>
      <c r="C8" s="41">
        <v>0</v>
      </c>
      <c r="D8" s="59">
        <v>15.704480090000001</v>
      </c>
      <c r="E8" s="41">
        <v>0</v>
      </c>
      <c r="F8" s="59">
        <v>17.0758504</v>
      </c>
      <c r="G8" s="41">
        <v>0</v>
      </c>
      <c r="H8" s="59">
        <v>17.268987769999999</v>
      </c>
      <c r="I8" s="41">
        <v>0</v>
      </c>
      <c r="J8" s="59">
        <v>13.87512648</v>
      </c>
      <c r="K8" s="41">
        <v>0</v>
      </c>
      <c r="L8" s="59">
        <v>21.00936153</v>
      </c>
      <c r="M8" s="41">
        <v>0</v>
      </c>
      <c r="N8" s="59">
        <v>22.52027885</v>
      </c>
      <c r="O8" s="41">
        <v>0</v>
      </c>
      <c r="P8" s="59">
        <v>20.61711347</v>
      </c>
      <c r="Q8" s="41">
        <v>0</v>
      </c>
    </row>
    <row r="9" spans="1:17" x14ac:dyDescent="0.25">
      <c r="A9" s="67" t="s">
        <v>299</v>
      </c>
      <c r="B9" s="59">
        <v>26.260183489999999</v>
      </c>
      <c r="C9" s="41">
        <v>0</v>
      </c>
      <c r="D9" s="59">
        <v>21.16086172</v>
      </c>
      <c r="E9" s="41">
        <v>0</v>
      </c>
      <c r="F9" s="59">
        <v>22.454581080000001</v>
      </c>
      <c r="G9" s="41">
        <v>0</v>
      </c>
      <c r="H9" s="59">
        <v>23.85082513</v>
      </c>
      <c r="I9" s="41">
        <v>0</v>
      </c>
      <c r="J9" s="59">
        <v>18.84783629</v>
      </c>
      <c r="K9" s="41">
        <v>0</v>
      </c>
      <c r="L9" s="59">
        <v>27.158564389999999</v>
      </c>
      <c r="M9" s="41">
        <v>0</v>
      </c>
      <c r="N9" s="59">
        <v>29.013354889999999</v>
      </c>
      <c r="O9" s="41">
        <v>0</v>
      </c>
      <c r="P9" s="59">
        <v>21.44820657</v>
      </c>
      <c r="Q9" s="41">
        <v>0</v>
      </c>
    </row>
    <row r="10" spans="1:17" x14ac:dyDescent="0.25">
      <c r="A10" s="66"/>
      <c r="B10" s="64">
        <f>GetColorCountSynFacilInt($B$2:$Q$9,A10)</f>
        <v>51</v>
      </c>
      <c r="C10" s="64"/>
      <c r="D10" s="64"/>
      <c r="E10" s="64"/>
      <c r="F10" s="64"/>
      <c r="G10" s="64"/>
      <c r="H10" s="64"/>
      <c r="I10" s="64"/>
      <c r="J10" s="64"/>
      <c r="K10" s="64"/>
      <c r="L10" s="64"/>
      <c r="M10" s="64"/>
      <c r="N10" s="64"/>
      <c r="O10" s="64"/>
      <c r="P10" s="64"/>
      <c r="Q10" s="64"/>
    </row>
    <row r="11" spans="1:17" x14ac:dyDescent="0.25">
      <c r="A11" s="31"/>
      <c r="B11" s="8">
        <f>GetColorCountSynFacilInt($B$2:$Q$9,A11)</f>
        <v>0</v>
      </c>
    </row>
    <row r="12" spans="1:17" x14ac:dyDescent="0.25">
      <c r="A12" s="30"/>
      <c r="B12" s="8">
        <f>GetColorCountSynFacilInt($B$2:$Q$9,A12)</f>
        <v>0</v>
      </c>
    </row>
    <row r="13" spans="1:17" x14ac:dyDescent="0.25">
      <c r="A13" s="40"/>
      <c r="B13" s="8">
        <f>GetColorCountSynFacilInt($B$2:$Q$9,A13)</f>
        <v>51</v>
      </c>
    </row>
    <row r="14" spans="1:17" x14ac:dyDescent="0.25">
      <c r="A14" s="39"/>
      <c r="B14" s="8">
        <f>GetColorCountSynFacilInt($B$2:$Q$9,A14)</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README</vt:lpstr>
      <vt:lpstr>Parameter PDF Summary CA3_net</vt:lpstr>
      <vt:lpstr>CARLsim4_default_parameters</vt:lpstr>
      <vt:lpstr>CA3_netlist</vt:lpstr>
      <vt:lpstr>syn_types</vt:lpstr>
      <vt:lpstr>pop_size_neuron_type</vt:lpstr>
      <vt:lpstr>IM_parameters_by_neuron_type</vt:lpstr>
      <vt:lpstr>syn_conn_prob</vt:lpstr>
      <vt:lpstr>syn_conds</vt:lpstr>
      <vt:lpstr>syn_weights</vt:lpstr>
      <vt:lpstr>syn_resource_release</vt:lpstr>
      <vt:lpstr>syn_resource_release_multiplier</vt:lpstr>
      <vt:lpstr>syn_rec_const</vt:lpstr>
      <vt:lpstr>syn_decay_const</vt:lpstr>
      <vt:lpstr>syn_facil_const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Carolina</dc:creator>
  <cp:keywords/>
  <dc:description/>
  <cp:lastModifiedBy>Jeffrey</cp:lastModifiedBy>
  <cp:revision/>
  <dcterms:created xsi:type="dcterms:W3CDTF">2018-10-18T19:03:24Z</dcterms:created>
  <dcterms:modified xsi:type="dcterms:W3CDTF">2021-02-26T16:53:19Z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60fd7a7a-3c8e-4f33-9ba2-e18e3b55ef07</vt:lpwstr>
  </property>
</Properties>
</file>